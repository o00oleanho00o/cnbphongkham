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A3C37E70-F894-4803-88BC-21E531D03AA6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" sheetId="1" r:id="rId1"/>
  </sheets>
  <definedNames>
    <definedName name="_xlnm._FilterDatabase" localSheetId="0" hidden="1">Sheet!$F$1:$F$155</definedName>
  </definedNames>
  <calcPr calcId="181029"/>
</workbook>
</file>

<file path=xl/calcChain.xml><?xml version="1.0" encoding="utf-8"?>
<calcChain xmlns="http://schemas.openxmlformats.org/spreadsheetml/2006/main">
  <c r="G115" i="1" l="1"/>
  <c r="G114" i="1"/>
  <c r="G111" i="1"/>
  <c r="G108" i="1"/>
  <c r="G106" i="1"/>
  <c r="G105" i="1"/>
  <c r="G100" i="1"/>
  <c r="G99" i="1"/>
  <c r="G97" i="1"/>
  <c r="G94" i="1"/>
  <c r="G92" i="1"/>
  <c r="G90" i="1"/>
  <c r="G72" i="1"/>
  <c r="G65" i="1"/>
  <c r="G64" i="1"/>
  <c r="G59" i="1"/>
  <c r="G58" i="1"/>
  <c r="G57" i="1"/>
  <c r="G56" i="1"/>
  <c r="G20" i="1"/>
  <c r="G18" i="1"/>
  <c r="G17" i="1"/>
  <c r="G16" i="1"/>
  <c r="G15" i="1"/>
  <c r="G14" i="1"/>
  <c r="G13" i="1"/>
  <c r="G12" i="1"/>
  <c r="G11" i="1"/>
  <c r="G10" i="1"/>
  <c r="G73" i="1"/>
  <c r="G116" i="1"/>
  <c r="G113" i="1"/>
  <c r="G112" i="1"/>
  <c r="G110" i="1"/>
  <c r="G109" i="1"/>
  <c r="G107" i="1"/>
  <c r="G104" i="1"/>
  <c r="G103" i="1"/>
  <c r="G102" i="1"/>
  <c r="G101" i="1"/>
  <c r="G98" i="1"/>
  <c r="G96" i="1"/>
  <c r="G95" i="1"/>
  <c r="G93" i="1"/>
  <c r="G91" i="1"/>
  <c r="G88" i="1"/>
  <c r="G85" i="1"/>
  <c r="G84" i="1"/>
  <c r="G83" i="1"/>
  <c r="G82" i="1"/>
  <c r="G81" i="1"/>
  <c r="G80" i="1"/>
  <c r="G79" i="1"/>
  <c r="G78" i="1"/>
  <c r="G77" i="1"/>
  <c r="G71" i="1"/>
  <c r="G70" i="1"/>
  <c r="G69" i="1"/>
  <c r="G68" i="1"/>
  <c r="G67" i="1"/>
  <c r="G66" i="1"/>
  <c r="G63" i="1"/>
  <c r="G62" i="1"/>
  <c r="G61" i="1"/>
  <c r="G60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19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<sst xmlns="http://schemas.openxmlformats.org/spreadsheetml/2006/main" count="809" uniqueCount="255">
  <si>
    <t>#</t>
  </si>
  <si>
    <t>Mã</t>
  </si>
  <si>
    <t>Tên</t>
  </si>
  <si>
    <t>Đơn vị</t>
  </si>
  <si>
    <t>Loại</t>
  </si>
  <si>
    <t>Quản lý</t>
  </si>
  <si>
    <t>Mã lô hàng</t>
  </si>
  <si>
    <t>Số seri</t>
  </si>
  <si>
    <t/>
  </si>
  <si>
    <t>Hộp</t>
  </si>
  <si>
    <t>QL Số lượng</t>
  </si>
  <si>
    <t>H002</t>
  </si>
  <si>
    <t>Desloratadine/Genepharm (Desloratadine 5 mg) Hộp 30 Viên - Viên - A</t>
  </si>
  <si>
    <t>Viên</t>
  </si>
  <si>
    <t>H005</t>
  </si>
  <si>
    <t>Cicaderm Cream 40ml - Kem làm mềm da, dưỡng ẩm, hỗ trợ làm đều màu da, mờ sẹo 40 ml - A</t>
  </si>
  <si>
    <t>H006</t>
  </si>
  <si>
    <t>Heliocare Luminance Oral 60 Caps/ Viên uống sáng da - P</t>
  </si>
  <si>
    <t>H007</t>
  </si>
  <si>
    <t>Bio Phyto -1 Mild Facial Cleanser - Sữa rửa mặt làm sạch sâu 100ml - A</t>
  </si>
  <si>
    <t>Chai</t>
  </si>
  <si>
    <t>H008</t>
  </si>
  <si>
    <t>Kem trị mụn NV ACTIPUR 3 EN 1 CARE 30ML - P</t>
  </si>
  <si>
    <t>Tuýp</t>
  </si>
  <si>
    <t>H010</t>
  </si>
  <si>
    <t>Bio Phyto -1 Mild Facial Cleanser - Sữa rửa mặt làm sạch sâu 500 ml - A</t>
  </si>
  <si>
    <t>H012</t>
  </si>
  <si>
    <t>Dưỡng ẩm da dầu Floslek 50ml Mattifying Cream - O</t>
  </si>
  <si>
    <t>H013</t>
  </si>
  <si>
    <t>Line Repair-Hydra-Theraskin+HA 50 serum dưỡng ẩm - P</t>
  </si>
  <si>
    <t>H014</t>
  </si>
  <si>
    <t>Tatopic 0.1% - Hộp 1 tuýp 10g thuốc mỡ bôi da - A</t>
  </si>
  <si>
    <t>H015</t>
  </si>
  <si>
    <t>Fogyma 5ml - A</t>
  </si>
  <si>
    <t>Ống</t>
  </si>
  <si>
    <t>H016</t>
  </si>
  <si>
    <t>Enzicoba- chống lão hóa, tăng miễn dịch - P</t>
  </si>
  <si>
    <t>H017</t>
  </si>
  <si>
    <t>Adalcrem ( Adaplene 15mg ) - A</t>
  </si>
  <si>
    <t>H018</t>
  </si>
  <si>
    <t>AZAROZZ Lô: YSH0350325, HD: 19/03/2028 - P</t>
  </si>
  <si>
    <t>H019</t>
  </si>
  <si>
    <t>Axcel Hydrocortisone - A</t>
  </si>
  <si>
    <t>H022</t>
  </si>
  <si>
    <t>Royalgsv (Hộp 20 ống 5ml) - A</t>
  </si>
  <si>
    <t>H023</t>
  </si>
  <si>
    <t>Nibean Itraconazol 100mg - A</t>
  </si>
  <si>
    <t>H025</t>
  </si>
  <si>
    <t>VERTUCID - A</t>
  </si>
  <si>
    <t>H026</t>
  </si>
  <si>
    <t>Dầu gội Rudondo new (Hộp 1 chai 120ml) - A</t>
  </si>
  <si>
    <t>H027</t>
  </si>
  <si>
    <t>Crederm loiton 20ml - A</t>
  </si>
  <si>
    <t>H028</t>
  </si>
  <si>
    <t>Dầu gội Mintar Liquid 150ml - P</t>
  </si>
  <si>
    <t>H029</t>
  </si>
  <si>
    <t>Bạch biến Vitix 50ml Colour che khuyết điểm (4) - O</t>
  </si>
  <si>
    <t>H030</t>
  </si>
  <si>
    <t>Viên uống Heliocare Oral Capsules bảo vệ da/Heliocare Oral Capsules 60s - P</t>
  </si>
  <si>
    <t>H031</t>
  </si>
  <si>
    <t>Kem chống nắng Heliocare 360 Mineral Tolerance Fluid dành cho da thường - O</t>
  </si>
  <si>
    <t>H032</t>
  </si>
  <si>
    <t>Viên uống Aknicare Combi 30caps - A</t>
  </si>
  <si>
    <t>H033</t>
  </si>
  <si>
    <t>Kem chống nắng Heliocare Water gel dành cho da dầu - O</t>
  </si>
  <si>
    <t>H034</t>
  </si>
  <si>
    <t>Viên uống mọc tóc Nourkrin Hair Growth+ In Clinic - 90 Viên - P</t>
  </si>
  <si>
    <t>H035</t>
  </si>
  <si>
    <t>Sản phẩm giúp giảm nhăn da/ Neostrata Oily Skin Solution 100ml  - A</t>
  </si>
  <si>
    <t>H036</t>
  </si>
  <si>
    <t>Bạch Biến Vitix 50ml Regulating (4) - A</t>
  </si>
  <si>
    <t>H038</t>
  </si>
  <si>
    <t>Gel ngừa bạch biến Vitix - Regulating Gel 20ml - P</t>
  </si>
  <si>
    <t>H039</t>
  </si>
  <si>
    <t>Heliocare Ultra 90 Gel SPF 50+ 50ml - P</t>
  </si>
  <si>
    <t>H040</t>
  </si>
  <si>
    <t>Tinh chất giảm mụn kiểm soát nhờn Neutidi Niacinamide 10% 50ml - P</t>
  </si>
  <si>
    <t>H041</t>
  </si>
  <si>
    <t>Kem chống nắng SUMDFINE SUNSCREEN 50g - P</t>
  </si>
  <si>
    <t>H042</t>
  </si>
  <si>
    <t>Gel dưỡng ẩm NEUTIDI PROACNE GEL -80g - P</t>
  </si>
  <si>
    <t>H043</t>
  </si>
  <si>
    <t>SUMDFINE WHITE CREAM DARKSPOT (20G) - Kem mờ nám trắng da - P</t>
  </si>
  <si>
    <t>H044</t>
  </si>
  <si>
    <t>Gel rửa mặt NEUTIDI ACNE WASH-100g - A</t>
  </si>
  <si>
    <t>H045</t>
  </si>
  <si>
    <t>Sumdfine Repair Serum B5 - 50ml, cấp ẩm, phục hồi da - A</t>
  </si>
  <si>
    <t>H047</t>
  </si>
  <si>
    <t>Tinh Chất 5 Loại Vitamin C Chống Oxy Hóa Và Làm Sáng Da ( SESDERMA C-VIT 5 LIPOSOMAL SERUM ) - P</t>
  </si>
  <si>
    <t>H048</t>
  </si>
  <si>
    <t>Hidroquin whitening Gel - 50ml - A</t>
  </si>
  <si>
    <t>H049</t>
  </si>
  <si>
    <t>Kem Gel Trị Nám Và Làm Trắng Da AZELAC RU GEL CREAM - A</t>
  </si>
  <si>
    <t>Lọ</t>
  </si>
  <si>
    <t>H051</t>
  </si>
  <si>
    <t>Zymogen Centella Ferment Cream - P</t>
  </si>
  <si>
    <t>H052</t>
  </si>
  <si>
    <t>Mặt nạ giấy phục hồi USOLAB BIO RENATURATION PDRN CALMING PACK (30MLX10 MIẾNG) - A</t>
  </si>
  <si>
    <t>Cái</t>
  </si>
  <si>
    <t>H053</t>
  </si>
  <si>
    <t>Kem phục hồi làm dịu tức thì USOLAB BIO INTENSIVE K CREAM 50ML - A</t>
  </si>
  <si>
    <t>H054</t>
  </si>
  <si>
    <t>Kem trắng da body USOLAB BIO INTENSIVE LIGHT CREAM 250ML - P</t>
  </si>
  <si>
    <t>H055</t>
  </si>
  <si>
    <t>Kem dưỡng ẩm cho mọi loại da USOLAB BIO INTENSIVE HYALURON CREAM 50ML - P</t>
  </si>
  <si>
    <t>H056</t>
  </si>
  <si>
    <t>K Ampoule Usolab Homecare 30ml - A</t>
  </si>
  <si>
    <t>H058</t>
  </si>
  <si>
    <t>A+ NUTRITION CYSDERM 60CT - A</t>
  </si>
  <si>
    <t>H059</t>
  </si>
  <si>
    <t>Lacabinne - 2% Prebiotic Complex Serum cream - A</t>
  </si>
  <si>
    <t>H060</t>
  </si>
  <si>
    <t>Lacabinne - 20% Cica Serum Cream - A</t>
  </si>
  <si>
    <t>H061</t>
  </si>
  <si>
    <t>LACABINE MONOACTIVES 2% TRANEXAMIC ACID SERUMCREAM 30ML/ Giảm nám, sáng da - P</t>
  </si>
  <si>
    <t>H063</t>
  </si>
  <si>
    <t>Kem chống nắng Hyaestic Skin Fusion SF64 Sunscreen 50ml - P</t>
  </si>
  <si>
    <t>H064</t>
  </si>
  <si>
    <t>Ziaja Med Atopic Skin Dermatological Formula Bath &amp; Shower Oil Softening 270ml - Dầu tắm Mềm mịn da - A</t>
  </si>
  <si>
    <t>H065</t>
  </si>
  <si>
    <t>Ziaja Med Atopic Skin Dermatological Formula Body Lotion Nourishing 400ml - Nhũ tương Mượt da toàn t - A</t>
  </si>
  <si>
    <t>H066</t>
  </si>
  <si>
    <t>Ziaja White Vaseline 30ml - Sáp Vaseline bảo vệ giữ ẩm Lô: R000573, HSD: 04/2027 - A</t>
  </si>
  <si>
    <t>Hũ</t>
  </si>
  <si>
    <t>H068</t>
  </si>
  <si>
    <t>Latopic Probiotic Emollient Active Body Emulsion - Nhũ tương dưỡng ẩm, dịu ngứa da dị ứng/kích ứng t - P</t>
  </si>
  <si>
    <t>H070</t>
  </si>
  <si>
    <t>Fudareu H - O</t>
  </si>
  <si>
    <t>H071</t>
  </si>
  <si>
    <t>Fudareus B (Hộp 1 tuýp 15g), NSX: Việt Nam - A</t>
  </si>
  <si>
    <t>H072</t>
  </si>
  <si>
    <t>ENVIX Ivermectin 6mg ( hộp 4 viên ) - P</t>
  </si>
  <si>
    <t>H073</t>
  </si>
  <si>
    <t>XỊT SEBOSAN Permethrin 5% 150ML - P</t>
  </si>
  <si>
    <t>H075</t>
  </si>
  <si>
    <t>VITILSI GEL 15g A24L146 - 31/12/2029 - P</t>
  </si>
  <si>
    <t>H076</t>
  </si>
  <si>
    <t>VITILSI GEL 40g - A</t>
  </si>
  <si>
    <t>H077</t>
  </si>
  <si>
    <t>NV SENSIDIANE SOOTHING CLEANSING GEL 200ML - P</t>
  </si>
  <si>
    <t>H078</t>
  </si>
  <si>
    <t>NV PSORIANE INTENSIVE SHAMPOO 125ML - P</t>
  </si>
  <si>
    <t>H079</t>
  </si>
  <si>
    <t>ESOJAY 15G (HOP/ 1 TUYP) - INDIA - kem bôi điều trị da - P</t>
  </si>
  <si>
    <t>Hop</t>
  </si>
  <si>
    <t>H080</t>
  </si>
  <si>
    <t>Dixasyro-H/10 ống-VN (kháng viêm, chống dị ứng) - A</t>
  </si>
  <si>
    <t>H082</t>
  </si>
  <si>
    <t>Kem dưỡng BLUE CAP CREAM (50gr/tuýp) - A</t>
  </si>
  <si>
    <t>H083</t>
  </si>
  <si>
    <t>XenicalSVR 10 kem dưỡng điều trị da - P</t>
  </si>
  <si>
    <t>H085</t>
  </si>
  <si>
    <t>Retinol Obagi 28g 0.5% (4) - O</t>
  </si>
  <si>
    <t>H086</t>
  </si>
  <si>
    <t>Retinol Obagi 28g 1% (4) - O</t>
  </si>
  <si>
    <t>H088</t>
  </si>
  <si>
    <t>Serum B9 Juliette Armand 20ml - O</t>
  </si>
  <si>
    <t>H091</t>
  </si>
  <si>
    <t>Skinmd Laboratories Pure Whitenol Serum - tinh chất trị nám - P</t>
  </si>
  <si>
    <t>H092</t>
  </si>
  <si>
    <t>Betriol 15g - O</t>
  </si>
  <si>
    <t>H094</t>
  </si>
  <si>
    <t>Xịt dưỡng mọc tóc Redenyl 80ml - A</t>
  </si>
  <si>
    <t>H095</t>
  </si>
  <si>
    <t>Triluma Ấn 15g trị nám - O</t>
  </si>
  <si>
    <t>H096</t>
  </si>
  <si>
    <t>Triluma Mỹ 15g trị nám - O</t>
  </si>
  <si>
    <t>H098</t>
  </si>
  <si>
    <t>Benoquin 20% monobenzone cream - tuýp 30g - O</t>
  </si>
  <si>
    <t>H101</t>
  </si>
  <si>
    <t>Đèn Philip - A</t>
  </si>
  <si>
    <t>H105</t>
  </si>
  <si>
    <t>Bioderma - Sebium H20 500ml - P</t>
  </si>
  <si>
    <t>H106</t>
  </si>
  <si>
    <t>Bioderma - Sensibio H20 500ml - P</t>
  </si>
  <si>
    <t>H108</t>
  </si>
  <si>
    <t>Dưỡng tái tạo da Factor G Renew Ampoules 7 days - O</t>
  </si>
  <si>
    <t>H109</t>
  </si>
  <si>
    <t>Tinh chất dưỡng da (oh!oh! Skin Health Serum) dùng dưỡng ẩm, chống nhăn, mịn da, hiệu: Oh, oh, (30ml) - P</t>
  </si>
  <si>
    <t>H111</t>
  </si>
  <si>
    <t>Nước cân bằng da (oh!oh! BHA Toner) làm sạch bụi bẩn, bã nhờn có trên da, dưỡng ẩm, chống nhăn, mịn - P</t>
  </si>
  <si>
    <t>H112</t>
  </si>
  <si>
    <t>Serum Oh Oh 20% Niacinamide - P</t>
  </si>
  <si>
    <t>H113</t>
  </si>
  <si>
    <t>SVR Sebiaclear Gel Moussant 200ml - P</t>
  </si>
  <si>
    <t>H114</t>
  </si>
  <si>
    <t>Goodndoc Centella Repair Cream - P</t>
  </si>
  <si>
    <t>H115</t>
  </si>
  <si>
    <t>Ezanic 15g (Azelaic Acid 20%) - O</t>
  </si>
  <si>
    <t>H116</t>
  </si>
  <si>
    <t>Gelacmeigel 15g - O</t>
  </si>
  <si>
    <t>H117</t>
  </si>
  <si>
    <t>Kem mắt Image 15ml Ageless - O</t>
  </si>
  <si>
    <t>HH118</t>
  </si>
  <si>
    <t>Minoxidil 5% chai 60ml - O</t>
  </si>
  <si>
    <t>H119</t>
  </si>
  <si>
    <t>Clorfine Clobetasol 0.5mg/g 15g - O</t>
  </si>
  <si>
    <t>H0100</t>
  </si>
  <si>
    <t>Dầu gội mọc tóc Novophane energizing shampoo 200ml - A</t>
  </si>
  <si>
    <t>HH0101</t>
  </si>
  <si>
    <t>ACARWIN-B 15g - O</t>
  </si>
  <si>
    <t>HH00102</t>
  </si>
  <si>
    <t>Lacabine-Anti Dark Spots Serum 30ml</t>
  </si>
  <si>
    <t>HH00190</t>
  </si>
  <si>
    <t>VINOCYCLIN 100 - Viên</t>
  </si>
  <si>
    <t>HH00209</t>
  </si>
  <si>
    <t>Kem chống nắng Eucerin 50g Oil Control da dầu mụn</t>
  </si>
  <si>
    <t>HH00180</t>
  </si>
  <si>
    <t>EGF Spot Recovery 15ml</t>
  </si>
  <si>
    <t>HH00202</t>
  </si>
  <si>
    <t>Quafa-Azi 500mg - viên</t>
  </si>
  <si>
    <t>HH00208</t>
  </si>
  <si>
    <t>Anti acne 24h System Soothing Serum mixed, oily and acne - prone skin 50ml - Serum làm mềm và mịn da 24h</t>
  </si>
  <si>
    <t>H00209</t>
  </si>
  <si>
    <t>Oratane, 10mg, caps 60s</t>
  </si>
  <si>
    <t>HH00210</t>
  </si>
  <si>
    <t>Epirozin-Xepa Ointment 2% w/w (Hộp 1 tuýp 5g), NSX: Malaysia</t>
  </si>
  <si>
    <t>H00215</t>
  </si>
  <si>
    <t>Gel rửa mặt ngừa mụn ( dạng vòi) (ANTI ACNE 24H SYSTEM FACE CLEANSING GEL mixed, oily and acne-prone skin 125ml)</t>
  </si>
  <si>
    <t>H00217</t>
  </si>
  <si>
    <t>IVAWHITE Whitening Serum 30ml</t>
  </si>
  <si>
    <t>H00218</t>
  </si>
  <si>
    <t>Kem dưỡng ẩm, làm mềm và mịn da (Ivawhite Whitening cream 50ml)</t>
  </si>
  <si>
    <t>H00219</t>
  </si>
  <si>
    <t>Kem dưỡng ẩm, làm da mềm và mịn màng hơn - Line Repair-Hydra-Elastin Collagen 60m</t>
  </si>
  <si>
    <t>H00220</t>
  </si>
  <si>
    <t>Gel Bôi da KorkGSV Tub 15g</t>
  </si>
  <si>
    <t>H00230</t>
  </si>
  <si>
    <t>Tacrolim 0.03 10g</t>
  </si>
  <si>
    <t>H00229</t>
  </si>
  <si>
    <t>Renewing Face Cream - 50ml</t>
  </si>
  <si>
    <t>H00240</t>
  </si>
  <si>
    <t>Befucid - 15g</t>
  </si>
  <si>
    <t>H00234</t>
  </si>
  <si>
    <t>Kem dưỡng ẩm giúp sáng mịn và giảm nhăn da Jean Darcel Renewing Face Cream 50ml</t>
  </si>
  <si>
    <t>H00239</t>
  </si>
  <si>
    <t>Kem chống nắng Sumdfine Hydra 50ml</t>
  </si>
  <si>
    <t>H00301</t>
  </si>
  <si>
    <t>Morystale cream ( Hộp 1 tuýp 15g )</t>
  </si>
  <si>
    <t>H00308</t>
  </si>
  <si>
    <t>NV EXFOLIAC INTENSIVE FOAMING GEL 200ML ( HỘP )</t>
  </si>
  <si>
    <t>H00311</t>
  </si>
  <si>
    <t>NOREVA XERODIANE CERA+ EMOLLIENT CREAM 200ML</t>
  </si>
  <si>
    <t>H00232</t>
  </si>
  <si>
    <t>Sumakin 1g ( 1 túi/2 vỉ/7 viên)</t>
  </si>
  <si>
    <t>H00238</t>
  </si>
  <si>
    <t>Kamestin Cream</t>
  </si>
  <si>
    <t>H00241</t>
  </si>
  <si>
    <t>SAFUR</t>
  </si>
  <si>
    <t>Thuốc</t>
  </si>
  <si>
    <t>Mỹ Phẩm</t>
  </si>
  <si>
    <t>TPCN</t>
  </si>
  <si>
    <t>Giá bán trước thuế</t>
  </si>
  <si>
    <t>Giá bán sau thuế</t>
  </si>
  <si>
    <t>VAT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</si>
</sst>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41B25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4E4E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6">
    <xf numFmtId="0" fontId="0" fillId="0" borderId="0" xfId="0"/>
    <xf numFmtId="3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1" xfId="0" applyNumberFormat="1" applyBorder="1" applyAlignment="1">
      <alignment horizontal="left" wrapText="1"/>
    </xf>
    <xf numFmtId="49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left" wrapText="1"/>
    </xf>
    <xf numFmtId="9" fontId="1" fillId="2" borderId="1" xfId="1" applyFont="1" applyFill="1" applyBorder="1" applyAlignment="1">
      <alignment horizontal="center" vertical="center" wrapText="1"/>
    </xf>
    <xf numFmtId="9" fontId="0" fillId="0" borderId="1" xfId="1" applyFont="1" applyBorder="1" applyAlignment="1">
      <alignment horizontal="center"/>
    </xf>
    <xf numFmtId="9" fontId="0" fillId="0" borderId="0" xfId="1" applyFont="1" applyAlignment="1">
      <alignment horizontal="center"/>
    </xf>
    <xf numFmtId="4" fontId="0" fillId="0" borderId="1" xfId="0" applyNumberFormat="1" applyBorder="1" applyAlignment="1">
      <alignment horizont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5"/>
  <sheetViews>
    <sheetView tabSelected="1" topLeftCell="A91" workbookViewId="0">
      <selection activeCell="B56" sqref="B56"/>
    </sheetView>
  </sheetViews>
  <sheetFormatPr defaultRowHeight="20.100000000000001" customHeight="1" x14ac:dyDescent="0.3"/>
  <cols>
    <col min="1" max="1" width="10" style="5" customWidth="1"/>
    <col min="2" max="2" width="12" style="6" customWidth="1"/>
    <col min="3" max="3" width="40.6640625" style="8" customWidth="1"/>
    <col min="4" max="4" width="11" style="6" customWidth="1"/>
    <col min="5" max="5" width="13" style="6" customWidth="1"/>
    <col min="6" max="6" width="13" style="12" customWidth="1"/>
    <col min="7" max="7" width="12" style="15" customWidth="1"/>
    <col min="8" max="8" width="13" style="5" customWidth="1"/>
    <col min="9" max="9" width="16" style="6" customWidth="1"/>
    <col min="10" max="10" width="15" style="6" customWidth="1"/>
    <col min="11" max="11" width="12" style="6" customWidth="1"/>
  </cols>
  <sheetData>
    <row r="1" spans="1:11" ht="31.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0" t="s">
        <v>254</v>
      </c>
      <c r="G1" s="14" t="s">
        <v>252</v>
      </c>
      <c r="H1" s="1" t="s">
        <v>253</v>
      </c>
      <c r="I1" s="2" t="s">
        <v>5</v>
      </c>
      <c r="J1" s="2" t="s">
        <v>6</v>
      </c>
      <c r="K1" s="2" t="s">
        <v>7</v>
      </c>
    </row>
    <row r="2" spans="1:11" ht="28.8" x14ac:dyDescent="0.3">
      <c r="A2" s="3">
        <v>1</v>
      </c>
      <c r="B2" s="4" t="s">
        <v>11</v>
      </c>
      <c r="C2" s="7" t="s">
        <v>12</v>
      </c>
      <c r="D2" s="4" t="s">
        <v>13</v>
      </c>
      <c r="E2" s="4" t="s">
        <v>249</v>
      </c>
      <c r="F2" s="11">
        <v>0.05</v>
      </c>
      <c r="G2" s="13">
        <f>H2/1.05</f>
        <v>5238.0952380952376</v>
      </c>
      <c r="H2" s="3">
        <v>5500</v>
      </c>
      <c r="I2" s="4" t="s">
        <v>10</v>
      </c>
      <c r="J2" s="4" t="s">
        <v>8</v>
      </c>
      <c r="K2" s="4" t="s">
        <v>8</v>
      </c>
    </row>
    <row r="3" spans="1:11" ht="43.2" x14ac:dyDescent="0.3">
      <c r="A3" s="3">
        <v>2</v>
      </c>
      <c r="B3" s="4" t="s">
        <v>14</v>
      </c>
      <c r="C3" s="7" t="s">
        <v>15</v>
      </c>
      <c r="D3" s="4" t="s">
        <v>9</v>
      </c>
      <c r="E3" s="4" t="s">
        <v>250</v>
      </c>
      <c r="F3" s="11">
        <v>0.08</v>
      </c>
      <c r="G3" s="13">
        <f>H3/1.08</f>
        <v>662037.03703703696</v>
      </c>
      <c r="H3" s="3">
        <v>715000</v>
      </c>
      <c r="I3" s="4" t="s">
        <v>10</v>
      </c>
      <c r="J3" s="4" t="s">
        <v>8</v>
      </c>
      <c r="K3" s="4" t="s">
        <v>8</v>
      </c>
    </row>
    <row r="4" spans="1:11" ht="28.8" x14ac:dyDescent="0.3">
      <c r="A4" s="3">
        <v>3</v>
      </c>
      <c r="B4" s="4" t="s">
        <v>16</v>
      </c>
      <c r="C4" s="7" t="s">
        <v>17</v>
      </c>
      <c r="D4" s="4" t="s">
        <v>9</v>
      </c>
      <c r="E4" s="4" t="s">
        <v>251</v>
      </c>
      <c r="F4" s="11">
        <v>0.08</v>
      </c>
      <c r="G4" s="13">
        <f t="shared" ref="G4:G9" si="0">H4/1.08</f>
        <v>2600000</v>
      </c>
      <c r="H4" s="3">
        <v>2808000</v>
      </c>
      <c r="I4" s="4" t="s">
        <v>10</v>
      </c>
      <c r="J4" s="4" t="s">
        <v>8</v>
      </c>
      <c r="K4" s="4" t="s">
        <v>8</v>
      </c>
    </row>
    <row r="5" spans="1:11" ht="28.8" x14ac:dyDescent="0.3">
      <c r="A5" s="3">
        <v>4</v>
      </c>
      <c r="B5" s="4" t="s">
        <v>18</v>
      </c>
      <c r="C5" s="7" t="s">
        <v>19</v>
      </c>
      <c r="D5" s="4" t="s">
        <v>20</v>
      </c>
      <c r="E5" s="4" t="s">
        <v>250</v>
      </c>
      <c r="F5" s="11">
        <v>0.08</v>
      </c>
      <c r="G5" s="13">
        <f t="shared" si="0"/>
        <v>611111.11111111112</v>
      </c>
      <c r="H5" s="3">
        <v>660000</v>
      </c>
      <c r="I5" s="4" t="s">
        <v>10</v>
      </c>
      <c r="J5" s="4" t="s">
        <v>8</v>
      </c>
      <c r="K5" s="4" t="s">
        <v>8</v>
      </c>
    </row>
    <row r="6" spans="1:11" ht="14.4" x14ac:dyDescent="0.3">
      <c r="A6" s="3">
        <v>5</v>
      </c>
      <c r="B6" s="4" t="s">
        <v>21</v>
      </c>
      <c r="C6" s="7" t="s">
        <v>22</v>
      </c>
      <c r="D6" s="4" t="s">
        <v>9</v>
      </c>
      <c r="E6" s="4" t="s">
        <v>250</v>
      </c>
      <c r="F6" s="11">
        <v>0.08</v>
      </c>
      <c r="G6" s="13">
        <f t="shared" si="0"/>
        <v>587962.96296296292</v>
      </c>
      <c r="H6" s="3">
        <v>635000</v>
      </c>
      <c r="I6" s="4" t="s">
        <v>10</v>
      </c>
      <c r="J6" s="4" t="s">
        <v>8</v>
      </c>
      <c r="K6" s="4" t="s">
        <v>8</v>
      </c>
    </row>
    <row r="7" spans="1:11" ht="28.8" x14ac:dyDescent="0.3">
      <c r="A7" s="3">
        <v>6</v>
      </c>
      <c r="B7" s="4" t="s">
        <v>24</v>
      </c>
      <c r="C7" s="7" t="s">
        <v>25</v>
      </c>
      <c r="D7" s="4" t="s">
        <v>23</v>
      </c>
      <c r="E7" s="4" t="s">
        <v>250</v>
      </c>
      <c r="F7" s="11">
        <v>0.08</v>
      </c>
      <c r="G7" s="13">
        <f t="shared" si="0"/>
        <v>2212962.9629629627</v>
      </c>
      <c r="H7" s="3">
        <v>2390000</v>
      </c>
      <c r="I7" s="4" t="s">
        <v>10</v>
      </c>
      <c r="J7" s="4" t="s">
        <v>8</v>
      </c>
      <c r="K7" s="4" t="s">
        <v>8</v>
      </c>
    </row>
    <row r="8" spans="1:11" ht="28.8" x14ac:dyDescent="0.3">
      <c r="A8" s="3">
        <v>7</v>
      </c>
      <c r="B8" s="4" t="s">
        <v>26</v>
      </c>
      <c r="C8" s="7" t="s">
        <v>27</v>
      </c>
      <c r="D8" s="4" t="s">
        <v>9</v>
      </c>
      <c r="E8" s="4" t="s">
        <v>250</v>
      </c>
      <c r="F8" s="11">
        <v>0.08</v>
      </c>
      <c r="G8" s="13">
        <f t="shared" si="0"/>
        <v>601851.8518518518</v>
      </c>
      <c r="H8" s="3">
        <v>650000</v>
      </c>
      <c r="I8" s="4" t="s">
        <v>10</v>
      </c>
      <c r="J8" s="4" t="s">
        <v>8</v>
      </c>
      <c r="K8" s="4" t="s">
        <v>8</v>
      </c>
    </row>
    <row r="9" spans="1:11" ht="28.8" x14ac:dyDescent="0.3">
      <c r="A9" s="3">
        <v>8</v>
      </c>
      <c r="B9" s="4" t="s">
        <v>28</v>
      </c>
      <c r="C9" s="7" t="s">
        <v>29</v>
      </c>
      <c r="D9" s="4" t="s">
        <v>9</v>
      </c>
      <c r="E9" s="4" t="s">
        <v>250</v>
      </c>
      <c r="F9" s="11">
        <v>0.08</v>
      </c>
      <c r="G9" s="13">
        <f t="shared" si="0"/>
        <v>1740740.7407407407</v>
      </c>
      <c r="H9" s="3">
        <v>1880000</v>
      </c>
      <c r="I9" s="4" t="s">
        <v>10</v>
      </c>
      <c r="J9" s="4" t="s">
        <v>8</v>
      </c>
      <c r="K9" s="4" t="s">
        <v>8</v>
      </c>
    </row>
    <row r="10" spans="1:11" ht="28.8" x14ac:dyDescent="0.3">
      <c r="A10" s="3">
        <v>9</v>
      </c>
      <c r="B10" s="4" t="s">
        <v>30</v>
      </c>
      <c r="C10" s="7" t="s">
        <v>31</v>
      </c>
      <c r="D10" s="4" t="s">
        <v>23</v>
      </c>
      <c r="E10" s="4" t="s">
        <v>249</v>
      </c>
      <c r="F10" s="11">
        <v>0.05</v>
      </c>
      <c r="G10" s="13">
        <f t="shared" ref="G10:G18" si="1">H10/1.05</f>
        <v>238095.23809523808</v>
      </c>
      <c r="H10" s="3">
        <v>250000</v>
      </c>
      <c r="I10" s="4" t="s">
        <v>10</v>
      </c>
      <c r="J10" s="4" t="s">
        <v>8</v>
      </c>
      <c r="K10" s="4" t="s">
        <v>8</v>
      </c>
    </row>
    <row r="11" spans="1:11" ht="14.4" x14ac:dyDescent="0.3">
      <c r="A11" s="3">
        <v>10</v>
      </c>
      <c r="B11" s="4" t="s">
        <v>32</v>
      </c>
      <c r="C11" s="7" t="s">
        <v>33</v>
      </c>
      <c r="D11" s="4" t="s">
        <v>34</v>
      </c>
      <c r="E11" s="4" t="s">
        <v>249</v>
      </c>
      <c r="F11" s="11">
        <v>0.05</v>
      </c>
      <c r="G11" s="13">
        <f t="shared" si="1"/>
        <v>8333.3333333333321</v>
      </c>
      <c r="H11" s="3">
        <v>8750</v>
      </c>
      <c r="I11" s="4" t="s">
        <v>10</v>
      </c>
      <c r="J11" s="4" t="s">
        <v>8</v>
      </c>
      <c r="K11" s="4" t="s">
        <v>8</v>
      </c>
    </row>
    <row r="12" spans="1:11" ht="14.4" x14ac:dyDescent="0.3">
      <c r="A12" s="3">
        <v>11</v>
      </c>
      <c r="B12" s="4" t="s">
        <v>35</v>
      </c>
      <c r="C12" s="7" t="s">
        <v>36</v>
      </c>
      <c r="D12" s="4" t="s">
        <v>9</v>
      </c>
      <c r="E12" s="4" t="s">
        <v>249</v>
      </c>
      <c r="F12" s="11">
        <v>0.05</v>
      </c>
      <c r="G12" s="13">
        <f t="shared" si="1"/>
        <v>333333.33333333331</v>
      </c>
      <c r="H12" s="3">
        <v>350000</v>
      </c>
      <c r="I12" s="4" t="s">
        <v>10</v>
      </c>
      <c r="J12" s="4" t="s">
        <v>8</v>
      </c>
      <c r="K12" s="4" t="s">
        <v>8</v>
      </c>
    </row>
    <row r="13" spans="1:11" ht="14.4" x14ac:dyDescent="0.3">
      <c r="A13" s="3">
        <v>12</v>
      </c>
      <c r="B13" s="4" t="s">
        <v>37</v>
      </c>
      <c r="C13" s="7" t="s">
        <v>38</v>
      </c>
      <c r="D13" s="4" t="s">
        <v>23</v>
      </c>
      <c r="E13" s="4" t="s">
        <v>249</v>
      </c>
      <c r="F13" s="11">
        <v>0.05</v>
      </c>
      <c r="G13" s="13">
        <f t="shared" si="1"/>
        <v>61904.761904761901</v>
      </c>
      <c r="H13" s="3">
        <v>65000</v>
      </c>
      <c r="I13" s="4" t="s">
        <v>10</v>
      </c>
      <c r="J13" s="4" t="s">
        <v>8</v>
      </c>
      <c r="K13" s="4" t="s">
        <v>8</v>
      </c>
    </row>
    <row r="14" spans="1:11" ht="14.4" x14ac:dyDescent="0.3">
      <c r="A14" s="3">
        <v>13</v>
      </c>
      <c r="B14" s="4" t="s">
        <v>39</v>
      </c>
      <c r="C14" s="7" t="s">
        <v>40</v>
      </c>
      <c r="D14" s="4" t="s">
        <v>23</v>
      </c>
      <c r="E14" s="4" t="s">
        <v>249</v>
      </c>
      <c r="F14" s="11">
        <v>0.05</v>
      </c>
      <c r="G14" s="13">
        <f t="shared" si="1"/>
        <v>57142.857142857138</v>
      </c>
      <c r="H14" s="3">
        <v>60000</v>
      </c>
      <c r="I14" s="4" t="s">
        <v>10</v>
      </c>
      <c r="J14" s="4" t="s">
        <v>8</v>
      </c>
      <c r="K14" s="4" t="s">
        <v>8</v>
      </c>
    </row>
    <row r="15" spans="1:11" ht="14.4" x14ac:dyDescent="0.3">
      <c r="A15" s="3">
        <v>14</v>
      </c>
      <c r="B15" s="4" t="s">
        <v>41</v>
      </c>
      <c r="C15" s="7" t="s">
        <v>42</v>
      </c>
      <c r="D15" s="4" t="s">
        <v>9</v>
      </c>
      <c r="E15" s="4" t="s">
        <v>249</v>
      </c>
      <c r="F15" s="11">
        <v>0.05</v>
      </c>
      <c r="G15" s="13">
        <f t="shared" si="1"/>
        <v>57142.857142857138</v>
      </c>
      <c r="H15" s="3">
        <v>60000</v>
      </c>
      <c r="I15" s="4" t="s">
        <v>10</v>
      </c>
      <c r="J15" s="4" t="s">
        <v>8</v>
      </c>
      <c r="K15" s="4" t="s">
        <v>8</v>
      </c>
    </row>
    <row r="16" spans="1:11" ht="14.4" x14ac:dyDescent="0.3">
      <c r="A16" s="3">
        <v>15</v>
      </c>
      <c r="B16" s="4" t="s">
        <v>43</v>
      </c>
      <c r="C16" s="7" t="s">
        <v>44</v>
      </c>
      <c r="D16" s="4" t="s">
        <v>34</v>
      </c>
      <c r="E16" s="4" t="s">
        <v>249</v>
      </c>
      <c r="F16" s="11">
        <v>0.05</v>
      </c>
      <c r="G16" s="13">
        <f t="shared" si="1"/>
        <v>4761.9047619047615</v>
      </c>
      <c r="H16" s="3">
        <v>5000</v>
      </c>
      <c r="I16" s="4" t="s">
        <v>10</v>
      </c>
      <c r="J16" s="4" t="s">
        <v>8</v>
      </c>
      <c r="K16" s="4" t="s">
        <v>8</v>
      </c>
    </row>
    <row r="17" spans="1:11" ht="14.4" x14ac:dyDescent="0.3">
      <c r="A17" s="3">
        <v>16</v>
      </c>
      <c r="B17" s="4" t="s">
        <v>45</v>
      </c>
      <c r="C17" s="7" t="s">
        <v>46</v>
      </c>
      <c r="D17" s="4" t="s">
        <v>13</v>
      </c>
      <c r="E17" s="4" t="s">
        <v>249</v>
      </c>
      <c r="F17" s="11">
        <v>0.05</v>
      </c>
      <c r="G17" s="13">
        <f t="shared" si="1"/>
        <v>8571.4285714285706</v>
      </c>
      <c r="H17" s="3">
        <v>9000</v>
      </c>
      <c r="I17" s="4" t="s">
        <v>10</v>
      </c>
      <c r="J17" s="4" t="s">
        <v>8</v>
      </c>
      <c r="K17" s="4" t="s">
        <v>8</v>
      </c>
    </row>
    <row r="18" spans="1:11" ht="14.4" x14ac:dyDescent="0.3">
      <c r="A18" s="3">
        <v>17</v>
      </c>
      <c r="B18" s="4" t="s">
        <v>47</v>
      </c>
      <c r="C18" s="7" t="s">
        <v>48</v>
      </c>
      <c r="D18" s="4" t="s">
        <v>9</v>
      </c>
      <c r="E18" s="4" t="s">
        <v>249</v>
      </c>
      <c r="F18" s="11">
        <v>0.05</v>
      </c>
      <c r="G18" s="13">
        <f t="shared" si="1"/>
        <v>91428.57142857142</v>
      </c>
      <c r="H18" s="3">
        <v>96000</v>
      </c>
      <c r="I18" s="4" t="s">
        <v>10</v>
      </c>
      <c r="J18" s="4" t="s">
        <v>8</v>
      </c>
      <c r="K18" s="4" t="s">
        <v>8</v>
      </c>
    </row>
    <row r="19" spans="1:11" ht="14.4" x14ac:dyDescent="0.3">
      <c r="A19" s="3">
        <v>18</v>
      </c>
      <c r="B19" s="4" t="s">
        <v>49</v>
      </c>
      <c r="C19" s="7" t="s">
        <v>50</v>
      </c>
      <c r="D19" s="4" t="s">
        <v>9</v>
      </c>
      <c r="E19" s="4" t="s">
        <v>251</v>
      </c>
      <c r="F19" s="11">
        <v>0.08</v>
      </c>
      <c r="G19" s="13">
        <f>H19/1.08</f>
        <v>101851.85185185184</v>
      </c>
      <c r="H19" s="3">
        <v>110000</v>
      </c>
      <c r="I19" s="4" t="s">
        <v>10</v>
      </c>
      <c r="J19" s="4" t="s">
        <v>8</v>
      </c>
      <c r="K19" s="4" t="s">
        <v>8</v>
      </c>
    </row>
    <row r="20" spans="1:11" ht="14.4" x14ac:dyDescent="0.3">
      <c r="A20" s="3">
        <v>19</v>
      </c>
      <c r="B20" s="4" t="s">
        <v>51</v>
      </c>
      <c r="C20" s="7" t="s">
        <v>52</v>
      </c>
      <c r="D20" s="4" t="s">
        <v>9</v>
      </c>
      <c r="E20" s="4" t="s">
        <v>249</v>
      </c>
      <c r="F20" s="11">
        <v>0.05</v>
      </c>
      <c r="G20" s="13">
        <f>H20/1.05</f>
        <v>66666.666666666657</v>
      </c>
      <c r="H20" s="3">
        <v>70000</v>
      </c>
      <c r="I20" s="4" t="s">
        <v>10</v>
      </c>
      <c r="J20" s="4" t="s">
        <v>8</v>
      </c>
      <c r="K20" s="4" t="s">
        <v>8</v>
      </c>
    </row>
    <row r="21" spans="1:11" ht="14.4" x14ac:dyDescent="0.3">
      <c r="A21" s="3">
        <v>20</v>
      </c>
      <c r="B21" s="4" t="s">
        <v>53</v>
      </c>
      <c r="C21" s="7" t="s">
        <v>54</v>
      </c>
      <c r="D21" s="4" t="s">
        <v>20</v>
      </c>
      <c r="E21" s="4" t="s">
        <v>251</v>
      </c>
      <c r="F21" s="11">
        <v>0.08</v>
      </c>
      <c r="G21" s="13">
        <f t="shared" ref="G21:G55" si="2">H21/1.08</f>
        <v>69444.444444444438</v>
      </c>
      <c r="H21" s="3">
        <v>75000</v>
      </c>
      <c r="I21" s="4" t="s">
        <v>10</v>
      </c>
      <c r="J21" s="4" t="s">
        <v>8</v>
      </c>
      <c r="K21" s="4" t="s">
        <v>8</v>
      </c>
    </row>
    <row r="22" spans="1:11" ht="28.8" x14ac:dyDescent="0.3">
      <c r="A22" s="3">
        <v>21</v>
      </c>
      <c r="B22" s="4" t="s">
        <v>55</v>
      </c>
      <c r="C22" s="7" t="s">
        <v>56</v>
      </c>
      <c r="D22" s="4" t="s">
        <v>9</v>
      </c>
      <c r="E22" s="4" t="s">
        <v>251</v>
      </c>
      <c r="F22" s="11">
        <v>0.08</v>
      </c>
      <c r="G22" s="13">
        <f t="shared" si="2"/>
        <v>794444.44444444438</v>
      </c>
      <c r="H22" s="3">
        <v>858000</v>
      </c>
      <c r="I22" s="4" t="s">
        <v>10</v>
      </c>
      <c r="J22" s="4" t="s">
        <v>8</v>
      </c>
      <c r="K22" s="4" t="s">
        <v>8</v>
      </c>
    </row>
    <row r="23" spans="1:11" ht="28.8" x14ac:dyDescent="0.3">
      <c r="A23" s="3">
        <v>22</v>
      </c>
      <c r="B23" s="4" t="s">
        <v>57</v>
      </c>
      <c r="C23" s="7" t="s">
        <v>58</v>
      </c>
      <c r="D23" s="4" t="s">
        <v>9</v>
      </c>
      <c r="E23" s="4" t="s">
        <v>251</v>
      </c>
      <c r="F23" s="11">
        <v>0.08</v>
      </c>
      <c r="G23" s="13">
        <f t="shared" si="2"/>
        <v>1189814.8148148148</v>
      </c>
      <c r="H23" s="3">
        <v>1285000</v>
      </c>
      <c r="I23" s="4" t="s">
        <v>10</v>
      </c>
      <c r="J23" s="4" t="s">
        <v>8</v>
      </c>
      <c r="K23" s="4" t="s">
        <v>8</v>
      </c>
    </row>
    <row r="24" spans="1:11" ht="28.8" x14ac:dyDescent="0.3">
      <c r="A24" s="3">
        <v>23</v>
      </c>
      <c r="B24" s="4" t="s">
        <v>59</v>
      </c>
      <c r="C24" s="7" t="s">
        <v>60</v>
      </c>
      <c r="D24" s="4" t="s">
        <v>9</v>
      </c>
      <c r="E24" s="4" t="s">
        <v>250</v>
      </c>
      <c r="F24" s="11">
        <v>0.08</v>
      </c>
      <c r="G24" s="13">
        <f t="shared" si="2"/>
        <v>1191666.6666666665</v>
      </c>
      <c r="H24" s="3">
        <v>1287000</v>
      </c>
      <c r="I24" s="4" t="s">
        <v>10</v>
      </c>
      <c r="J24" s="4" t="s">
        <v>8</v>
      </c>
      <c r="K24" s="4" t="s">
        <v>8</v>
      </c>
    </row>
    <row r="25" spans="1:11" ht="14.4" x14ac:dyDescent="0.3">
      <c r="A25" s="3">
        <v>24</v>
      </c>
      <c r="B25" s="4" t="s">
        <v>61</v>
      </c>
      <c r="C25" s="7" t="s">
        <v>62</v>
      </c>
      <c r="D25" s="4" t="s">
        <v>9</v>
      </c>
      <c r="E25" s="4" t="s">
        <v>250</v>
      </c>
      <c r="F25" s="11">
        <v>0.08</v>
      </c>
      <c r="G25" s="13">
        <f t="shared" si="2"/>
        <v>720000</v>
      </c>
      <c r="H25" s="3">
        <v>777600</v>
      </c>
      <c r="I25" s="4" t="s">
        <v>10</v>
      </c>
      <c r="J25" s="4" t="s">
        <v>8</v>
      </c>
      <c r="K25" s="4" t="s">
        <v>8</v>
      </c>
    </row>
    <row r="26" spans="1:11" ht="28.8" x14ac:dyDescent="0.3">
      <c r="A26" s="3">
        <v>25</v>
      </c>
      <c r="B26" s="4" t="s">
        <v>63</v>
      </c>
      <c r="C26" s="7" t="s">
        <v>64</v>
      </c>
      <c r="D26" s="4" t="s">
        <v>9</v>
      </c>
      <c r="E26" s="4" t="s">
        <v>250</v>
      </c>
      <c r="F26" s="11">
        <v>0.08</v>
      </c>
      <c r="G26" s="13">
        <f t="shared" si="2"/>
        <v>1287962.9629629629</v>
      </c>
      <c r="H26" s="3">
        <v>1391000</v>
      </c>
      <c r="I26" s="4" t="s">
        <v>10</v>
      </c>
      <c r="J26" s="4" t="s">
        <v>8</v>
      </c>
      <c r="K26" s="4" t="s">
        <v>8</v>
      </c>
    </row>
    <row r="27" spans="1:11" ht="28.8" x14ac:dyDescent="0.3">
      <c r="A27" s="3">
        <v>26</v>
      </c>
      <c r="B27" s="4" t="s">
        <v>65</v>
      </c>
      <c r="C27" s="7" t="s">
        <v>66</v>
      </c>
      <c r="D27" s="4" t="s">
        <v>9</v>
      </c>
      <c r="E27" s="4" t="s">
        <v>251</v>
      </c>
      <c r="F27" s="11">
        <v>0.08</v>
      </c>
      <c r="G27" s="13">
        <f t="shared" si="2"/>
        <v>2694444.4444444445</v>
      </c>
      <c r="H27" s="3">
        <v>2910000</v>
      </c>
      <c r="I27" s="4" t="s">
        <v>10</v>
      </c>
      <c r="J27" s="4" t="s">
        <v>8</v>
      </c>
      <c r="K27" s="4" t="s">
        <v>8</v>
      </c>
    </row>
    <row r="28" spans="1:11" ht="28.8" x14ac:dyDescent="0.3">
      <c r="A28" s="3">
        <v>27</v>
      </c>
      <c r="B28" s="4" t="s">
        <v>67</v>
      </c>
      <c r="C28" s="7" t="s">
        <v>68</v>
      </c>
      <c r="D28" s="4" t="s">
        <v>9</v>
      </c>
      <c r="E28" s="4" t="s">
        <v>250</v>
      </c>
      <c r="F28" s="11">
        <v>0.08</v>
      </c>
      <c r="G28" s="13">
        <f t="shared" si="2"/>
        <v>1064351.8518518517</v>
      </c>
      <c r="H28" s="3">
        <v>1149500</v>
      </c>
      <c r="I28" s="4" t="s">
        <v>10</v>
      </c>
      <c r="J28" s="4" t="s">
        <v>8</v>
      </c>
      <c r="K28" s="4" t="s">
        <v>8</v>
      </c>
    </row>
    <row r="29" spans="1:11" ht="14.4" x14ac:dyDescent="0.3">
      <c r="A29" s="3">
        <v>28</v>
      </c>
      <c r="B29" s="4" t="s">
        <v>69</v>
      </c>
      <c r="C29" s="7" t="s">
        <v>70</v>
      </c>
      <c r="D29" s="4" t="s">
        <v>9</v>
      </c>
      <c r="E29" s="4" t="s">
        <v>251</v>
      </c>
      <c r="F29" s="11">
        <v>0.08</v>
      </c>
      <c r="G29" s="13">
        <f t="shared" si="2"/>
        <v>1588888.8888888888</v>
      </c>
      <c r="H29" s="3">
        <v>1716000</v>
      </c>
      <c r="I29" s="4" t="s">
        <v>10</v>
      </c>
      <c r="J29" s="4" t="s">
        <v>8</v>
      </c>
      <c r="K29" s="4" t="s">
        <v>8</v>
      </c>
    </row>
    <row r="30" spans="1:11" ht="28.8" x14ac:dyDescent="0.3">
      <c r="A30" s="3">
        <v>29</v>
      </c>
      <c r="B30" s="4" t="s">
        <v>71</v>
      </c>
      <c r="C30" s="7" t="s">
        <v>72</v>
      </c>
      <c r="D30" s="4" t="s">
        <v>9</v>
      </c>
      <c r="E30" s="4" t="s">
        <v>251</v>
      </c>
      <c r="F30" s="11">
        <v>0.08</v>
      </c>
      <c r="G30" s="13">
        <f t="shared" si="2"/>
        <v>794444.44444444438</v>
      </c>
      <c r="H30" s="3">
        <v>858000</v>
      </c>
      <c r="I30" s="4" t="s">
        <v>10</v>
      </c>
      <c r="J30" s="4" t="s">
        <v>8</v>
      </c>
      <c r="K30" s="4" t="s">
        <v>8</v>
      </c>
    </row>
    <row r="31" spans="1:11" ht="14.4" x14ac:dyDescent="0.3">
      <c r="A31" s="3">
        <v>30</v>
      </c>
      <c r="B31" s="4" t="s">
        <v>73</v>
      </c>
      <c r="C31" s="7" t="s">
        <v>74</v>
      </c>
      <c r="D31" s="4" t="s">
        <v>9</v>
      </c>
      <c r="E31" s="4" t="s">
        <v>250</v>
      </c>
      <c r="F31" s="11">
        <v>0.08</v>
      </c>
      <c r="G31" s="13">
        <f t="shared" si="2"/>
        <v>1171296.2962962962</v>
      </c>
      <c r="H31" s="3">
        <v>1265000</v>
      </c>
      <c r="I31" s="4" t="s">
        <v>10</v>
      </c>
      <c r="J31" s="4" t="s">
        <v>8</v>
      </c>
      <c r="K31" s="4" t="s">
        <v>8</v>
      </c>
    </row>
    <row r="32" spans="1:11" ht="28.8" x14ac:dyDescent="0.3">
      <c r="A32" s="3">
        <v>31</v>
      </c>
      <c r="B32" s="4" t="s">
        <v>75</v>
      </c>
      <c r="C32" s="7" t="s">
        <v>76</v>
      </c>
      <c r="D32" s="4" t="s">
        <v>9</v>
      </c>
      <c r="E32" s="4" t="s">
        <v>250</v>
      </c>
      <c r="F32" s="11">
        <v>0.08</v>
      </c>
      <c r="G32" s="13">
        <f t="shared" si="2"/>
        <v>694444.44444444438</v>
      </c>
      <c r="H32" s="3">
        <v>750000</v>
      </c>
      <c r="I32" s="4" t="s">
        <v>10</v>
      </c>
      <c r="J32" s="4" t="s">
        <v>8</v>
      </c>
      <c r="K32" s="4" t="s">
        <v>8</v>
      </c>
    </row>
    <row r="33" spans="1:11" ht="14.4" x14ac:dyDescent="0.3">
      <c r="A33" s="3">
        <v>32</v>
      </c>
      <c r="B33" s="4" t="s">
        <v>77</v>
      </c>
      <c r="C33" s="7" t="s">
        <v>78</v>
      </c>
      <c r="D33" s="4" t="s">
        <v>9</v>
      </c>
      <c r="E33" s="4" t="s">
        <v>250</v>
      </c>
      <c r="F33" s="11">
        <v>0.08</v>
      </c>
      <c r="G33" s="13">
        <f t="shared" si="2"/>
        <v>462962.96296296292</v>
      </c>
      <c r="H33" s="3">
        <v>500000</v>
      </c>
      <c r="I33" s="4" t="s">
        <v>10</v>
      </c>
      <c r="J33" s="4" t="s">
        <v>8</v>
      </c>
      <c r="K33" s="4" t="s">
        <v>8</v>
      </c>
    </row>
    <row r="34" spans="1:11" ht="14.4" x14ac:dyDescent="0.3">
      <c r="A34" s="3">
        <v>33</v>
      </c>
      <c r="B34" s="4" t="s">
        <v>79</v>
      </c>
      <c r="C34" s="7" t="s">
        <v>80</v>
      </c>
      <c r="D34" s="4" t="s">
        <v>9</v>
      </c>
      <c r="E34" s="4" t="s">
        <v>250</v>
      </c>
      <c r="F34" s="11">
        <v>0.08</v>
      </c>
      <c r="G34" s="13">
        <f t="shared" si="2"/>
        <v>546296.29629629629</v>
      </c>
      <c r="H34" s="3">
        <v>590000</v>
      </c>
      <c r="I34" s="4" t="s">
        <v>10</v>
      </c>
      <c r="J34" s="4" t="s">
        <v>8</v>
      </c>
      <c r="K34" s="4" t="s">
        <v>8</v>
      </c>
    </row>
    <row r="35" spans="1:11" ht="28.8" x14ac:dyDescent="0.3">
      <c r="A35" s="3">
        <v>34</v>
      </c>
      <c r="B35" s="4" t="s">
        <v>81</v>
      </c>
      <c r="C35" s="7" t="s">
        <v>82</v>
      </c>
      <c r="D35" s="4" t="s">
        <v>23</v>
      </c>
      <c r="E35" s="4" t="s">
        <v>250</v>
      </c>
      <c r="F35" s="11">
        <v>0.08</v>
      </c>
      <c r="G35" s="13">
        <f t="shared" si="2"/>
        <v>509259.25925925921</v>
      </c>
      <c r="H35" s="3">
        <v>550000</v>
      </c>
      <c r="I35" s="4" t="s">
        <v>10</v>
      </c>
      <c r="J35" s="4" t="s">
        <v>8</v>
      </c>
      <c r="K35" s="4" t="s">
        <v>8</v>
      </c>
    </row>
    <row r="36" spans="1:11" ht="14.4" x14ac:dyDescent="0.3">
      <c r="A36" s="3">
        <v>35</v>
      </c>
      <c r="B36" s="4" t="s">
        <v>83</v>
      </c>
      <c r="C36" s="7" t="s">
        <v>84</v>
      </c>
      <c r="D36" s="4" t="s">
        <v>9</v>
      </c>
      <c r="E36" s="4" t="s">
        <v>250</v>
      </c>
      <c r="F36" s="11">
        <v>0.08</v>
      </c>
      <c r="G36" s="13">
        <f t="shared" si="2"/>
        <v>499999.99999999994</v>
      </c>
      <c r="H36" s="3">
        <v>540000</v>
      </c>
      <c r="I36" s="4" t="s">
        <v>10</v>
      </c>
      <c r="J36" s="4" t="s">
        <v>8</v>
      </c>
      <c r="K36" s="4" t="s">
        <v>8</v>
      </c>
    </row>
    <row r="37" spans="1:11" ht="28.8" x14ac:dyDescent="0.3">
      <c r="A37" s="3">
        <v>36</v>
      </c>
      <c r="B37" s="4" t="s">
        <v>85</v>
      </c>
      <c r="C37" s="7" t="s">
        <v>86</v>
      </c>
      <c r="D37" s="4" t="s">
        <v>20</v>
      </c>
      <c r="E37" s="4" t="s">
        <v>250</v>
      </c>
      <c r="F37" s="11">
        <v>0.08</v>
      </c>
      <c r="G37" s="13">
        <f t="shared" si="2"/>
        <v>601851.8518518518</v>
      </c>
      <c r="H37" s="3">
        <v>650000</v>
      </c>
      <c r="I37" s="4" t="s">
        <v>10</v>
      </c>
      <c r="J37" s="4" t="s">
        <v>8</v>
      </c>
      <c r="K37" s="4" t="s">
        <v>8</v>
      </c>
    </row>
    <row r="38" spans="1:11" ht="43.2" x14ac:dyDescent="0.3">
      <c r="A38" s="3">
        <v>37</v>
      </c>
      <c r="B38" s="4" t="s">
        <v>87</v>
      </c>
      <c r="C38" s="7" t="s">
        <v>88</v>
      </c>
      <c r="D38" s="4" t="s">
        <v>9</v>
      </c>
      <c r="E38" s="4" t="s">
        <v>250</v>
      </c>
      <c r="F38" s="11">
        <v>0.08</v>
      </c>
      <c r="G38" s="13">
        <f t="shared" si="2"/>
        <v>2490740.7407407407</v>
      </c>
      <c r="H38" s="3">
        <v>2690000</v>
      </c>
      <c r="I38" s="4" t="s">
        <v>10</v>
      </c>
      <c r="J38" s="4" t="s">
        <v>8</v>
      </c>
      <c r="K38" s="4" t="s">
        <v>8</v>
      </c>
    </row>
    <row r="39" spans="1:11" ht="14.4" x14ac:dyDescent="0.3">
      <c r="A39" s="3">
        <v>38</v>
      </c>
      <c r="B39" s="4" t="s">
        <v>89</v>
      </c>
      <c r="C39" s="7" t="s">
        <v>90</v>
      </c>
      <c r="D39" s="4" t="s">
        <v>9</v>
      </c>
      <c r="E39" s="4" t="s">
        <v>250</v>
      </c>
      <c r="F39" s="11">
        <v>0.08</v>
      </c>
      <c r="G39" s="13">
        <f t="shared" si="2"/>
        <v>2675925.9259259258</v>
      </c>
      <c r="H39" s="3">
        <v>2890000</v>
      </c>
      <c r="I39" s="4" t="s">
        <v>10</v>
      </c>
      <c r="J39" s="4" t="s">
        <v>8</v>
      </c>
      <c r="K39" s="4" t="s">
        <v>8</v>
      </c>
    </row>
    <row r="40" spans="1:11" ht="28.8" x14ac:dyDescent="0.3">
      <c r="A40" s="3">
        <v>39</v>
      </c>
      <c r="B40" s="4" t="s">
        <v>91</v>
      </c>
      <c r="C40" s="7" t="s">
        <v>92</v>
      </c>
      <c r="D40" s="4" t="s">
        <v>93</v>
      </c>
      <c r="E40" s="4" t="s">
        <v>250</v>
      </c>
      <c r="F40" s="11">
        <v>0.08</v>
      </c>
      <c r="G40" s="13">
        <f t="shared" si="2"/>
        <v>2462962.9629629627</v>
      </c>
      <c r="H40" s="3">
        <v>2660000</v>
      </c>
      <c r="I40" s="4" t="s">
        <v>10</v>
      </c>
      <c r="J40" s="4" t="s">
        <v>8</v>
      </c>
      <c r="K40" s="4" t="s">
        <v>8</v>
      </c>
    </row>
    <row r="41" spans="1:11" ht="14.4" x14ac:dyDescent="0.3">
      <c r="A41" s="3">
        <v>40</v>
      </c>
      <c r="B41" s="4" t="s">
        <v>94</v>
      </c>
      <c r="C41" s="7" t="s">
        <v>95</v>
      </c>
      <c r="D41" s="4" t="s">
        <v>9</v>
      </c>
      <c r="E41" s="4" t="s">
        <v>250</v>
      </c>
      <c r="F41" s="11">
        <v>0.08</v>
      </c>
      <c r="G41" s="13">
        <f t="shared" si="2"/>
        <v>879629.62962962955</v>
      </c>
      <c r="H41" s="3">
        <v>950000</v>
      </c>
      <c r="I41" s="4" t="s">
        <v>10</v>
      </c>
      <c r="J41" s="4" t="s">
        <v>8</v>
      </c>
      <c r="K41" s="4" t="s">
        <v>8</v>
      </c>
    </row>
    <row r="42" spans="1:11" ht="43.2" x14ac:dyDescent="0.3">
      <c r="A42" s="3">
        <v>41</v>
      </c>
      <c r="B42" s="4" t="s">
        <v>96</v>
      </c>
      <c r="C42" s="7" t="s">
        <v>97</v>
      </c>
      <c r="D42" s="4" t="s">
        <v>98</v>
      </c>
      <c r="E42" s="4" t="s">
        <v>250</v>
      </c>
      <c r="F42" s="11">
        <v>0.08</v>
      </c>
      <c r="G42" s="13">
        <f t="shared" si="2"/>
        <v>63888.888888888883</v>
      </c>
      <c r="H42" s="3">
        <v>69000</v>
      </c>
      <c r="I42" s="4" t="s">
        <v>10</v>
      </c>
      <c r="J42" s="4" t="s">
        <v>8</v>
      </c>
      <c r="K42" s="4" t="s">
        <v>8</v>
      </c>
    </row>
    <row r="43" spans="1:11" ht="28.8" x14ac:dyDescent="0.3">
      <c r="A43" s="3">
        <v>42</v>
      </c>
      <c r="B43" s="4" t="s">
        <v>99</v>
      </c>
      <c r="C43" s="7" t="s">
        <v>100</v>
      </c>
      <c r="D43" s="4" t="s">
        <v>9</v>
      </c>
      <c r="E43" s="4" t="s">
        <v>250</v>
      </c>
      <c r="F43" s="11">
        <v>0.08</v>
      </c>
      <c r="G43" s="13">
        <f t="shared" si="2"/>
        <v>916666.66666666663</v>
      </c>
      <c r="H43" s="3">
        <v>990000</v>
      </c>
      <c r="I43" s="4" t="s">
        <v>10</v>
      </c>
      <c r="J43" s="4" t="s">
        <v>8</v>
      </c>
      <c r="K43" s="4" t="s">
        <v>8</v>
      </c>
    </row>
    <row r="44" spans="1:11" ht="28.8" x14ac:dyDescent="0.3">
      <c r="A44" s="3">
        <v>43</v>
      </c>
      <c r="B44" s="4" t="s">
        <v>101</v>
      </c>
      <c r="C44" s="7" t="s">
        <v>102</v>
      </c>
      <c r="D44" s="4" t="s">
        <v>9</v>
      </c>
      <c r="E44" s="4" t="s">
        <v>250</v>
      </c>
      <c r="F44" s="11">
        <v>0.08</v>
      </c>
      <c r="G44" s="13">
        <f t="shared" si="2"/>
        <v>731481.48148148146</v>
      </c>
      <c r="H44" s="3">
        <v>790000</v>
      </c>
      <c r="I44" s="4" t="s">
        <v>10</v>
      </c>
      <c r="J44" s="4" t="s">
        <v>8</v>
      </c>
      <c r="K44" s="4" t="s">
        <v>8</v>
      </c>
    </row>
    <row r="45" spans="1:11" ht="28.8" x14ac:dyDescent="0.3">
      <c r="A45" s="3">
        <v>44</v>
      </c>
      <c r="B45" s="4" t="s">
        <v>103</v>
      </c>
      <c r="C45" s="7" t="s">
        <v>104</v>
      </c>
      <c r="D45" s="4" t="s">
        <v>9</v>
      </c>
      <c r="E45" s="4" t="s">
        <v>250</v>
      </c>
      <c r="F45" s="11">
        <v>0.08</v>
      </c>
      <c r="G45" s="13">
        <f t="shared" si="2"/>
        <v>916666.66666666663</v>
      </c>
      <c r="H45" s="3">
        <v>990000</v>
      </c>
      <c r="I45" s="4" t="s">
        <v>10</v>
      </c>
      <c r="J45" s="4" t="s">
        <v>8</v>
      </c>
      <c r="K45" s="4" t="s">
        <v>8</v>
      </c>
    </row>
    <row r="46" spans="1:11" ht="14.4" x14ac:dyDescent="0.3">
      <c r="A46" s="3">
        <v>45</v>
      </c>
      <c r="B46" s="4" t="s">
        <v>105</v>
      </c>
      <c r="C46" s="7" t="s">
        <v>106</v>
      </c>
      <c r="D46" s="4" t="s">
        <v>9</v>
      </c>
      <c r="E46" s="4" t="s">
        <v>250</v>
      </c>
      <c r="F46" s="11">
        <v>0.08</v>
      </c>
      <c r="G46" s="13">
        <f t="shared" si="2"/>
        <v>731481.48148148146</v>
      </c>
      <c r="H46" s="3">
        <v>790000</v>
      </c>
      <c r="I46" s="4" t="s">
        <v>10</v>
      </c>
      <c r="J46" s="4" t="s">
        <v>8</v>
      </c>
      <c r="K46" s="4" t="s">
        <v>8</v>
      </c>
    </row>
    <row r="47" spans="1:11" ht="14.4" x14ac:dyDescent="0.3">
      <c r="A47" s="3">
        <v>46</v>
      </c>
      <c r="B47" s="4" t="s">
        <v>107</v>
      </c>
      <c r="C47" s="7" t="s">
        <v>108</v>
      </c>
      <c r="D47" s="4" t="s">
        <v>9</v>
      </c>
      <c r="E47" s="4" t="s">
        <v>251</v>
      </c>
      <c r="F47" s="11">
        <v>0.08</v>
      </c>
      <c r="G47" s="13">
        <f t="shared" si="2"/>
        <v>611111.11111111112</v>
      </c>
      <c r="H47" s="3">
        <v>660000</v>
      </c>
      <c r="I47" s="4" t="s">
        <v>10</v>
      </c>
      <c r="J47" s="4" t="s">
        <v>8</v>
      </c>
      <c r="K47" s="4" t="s">
        <v>8</v>
      </c>
    </row>
    <row r="48" spans="1:11" ht="28.8" x14ac:dyDescent="0.3">
      <c r="A48" s="3">
        <v>47</v>
      </c>
      <c r="B48" s="4" t="s">
        <v>109</v>
      </c>
      <c r="C48" s="7" t="s">
        <v>110</v>
      </c>
      <c r="D48" s="4" t="s">
        <v>93</v>
      </c>
      <c r="E48" s="4" t="s">
        <v>250</v>
      </c>
      <c r="F48" s="11">
        <v>0.08</v>
      </c>
      <c r="G48" s="13">
        <f t="shared" si="2"/>
        <v>879629.62962962955</v>
      </c>
      <c r="H48" s="3">
        <v>950000</v>
      </c>
      <c r="I48" s="4" t="s">
        <v>10</v>
      </c>
      <c r="J48" s="4" t="s">
        <v>8</v>
      </c>
      <c r="K48" s="4" t="s">
        <v>8</v>
      </c>
    </row>
    <row r="49" spans="1:11" ht="14.4" x14ac:dyDescent="0.3">
      <c r="A49" s="3">
        <v>48</v>
      </c>
      <c r="B49" s="4" t="s">
        <v>111</v>
      </c>
      <c r="C49" s="7" t="s">
        <v>112</v>
      </c>
      <c r="D49" s="4" t="s">
        <v>93</v>
      </c>
      <c r="E49" s="4" t="s">
        <v>250</v>
      </c>
      <c r="F49" s="11">
        <v>0.08</v>
      </c>
      <c r="G49" s="13">
        <f t="shared" si="2"/>
        <v>879629.62962962955</v>
      </c>
      <c r="H49" s="3">
        <v>950000</v>
      </c>
      <c r="I49" s="4" t="s">
        <v>10</v>
      </c>
      <c r="J49" s="4" t="s">
        <v>8</v>
      </c>
      <c r="K49" s="4" t="s">
        <v>8</v>
      </c>
    </row>
    <row r="50" spans="1:11" ht="43.2" x14ac:dyDescent="0.3">
      <c r="A50" s="3">
        <v>49</v>
      </c>
      <c r="B50" s="4" t="s">
        <v>113</v>
      </c>
      <c r="C50" s="7" t="s">
        <v>114</v>
      </c>
      <c r="D50" s="4" t="s">
        <v>93</v>
      </c>
      <c r="E50" s="4" t="s">
        <v>250</v>
      </c>
      <c r="F50" s="11">
        <v>0.08</v>
      </c>
      <c r="G50" s="13">
        <f t="shared" si="2"/>
        <v>879629.62962962955</v>
      </c>
      <c r="H50" s="3">
        <v>950000</v>
      </c>
      <c r="I50" s="4" t="s">
        <v>10</v>
      </c>
      <c r="J50" s="4" t="s">
        <v>8</v>
      </c>
      <c r="K50" s="4" t="s">
        <v>8</v>
      </c>
    </row>
    <row r="51" spans="1:11" ht="28.8" x14ac:dyDescent="0.3">
      <c r="A51" s="3">
        <v>50</v>
      </c>
      <c r="B51" s="4" t="s">
        <v>115</v>
      </c>
      <c r="C51" s="7" t="s">
        <v>116</v>
      </c>
      <c r="D51" s="4" t="s">
        <v>9</v>
      </c>
      <c r="E51" s="4" t="s">
        <v>250</v>
      </c>
      <c r="F51" s="11">
        <v>0.08</v>
      </c>
      <c r="G51" s="13">
        <f t="shared" si="2"/>
        <v>1101851.8518518517</v>
      </c>
      <c r="H51" s="3">
        <v>1190000</v>
      </c>
      <c r="I51" s="4" t="s">
        <v>10</v>
      </c>
      <c r="J51" s="4" t="s">
        <v>8</v>
      </c>
      <c r="K51" s="4" t="s">
        <v>8</v>
      </c>
    </row>
    <row r="52" spans="1:11" ht="43.2" x14ac:dyDescent="0.3">
      <c r="A52" s="3">
        <v>51</v>
      </c>
      <c r="B52" s="4" t="s">
        <v>117</v>
      </c>
      <c r="C52" s="7" t="s">
        <v>118</v>
      </c>
      <c r="D52" s="4" t="s">
        <v>20</v>
      </c>
      <c r="E52" s="4" t="s">
        <v>250</v>
      </c>
      <c r="F52" s="11">
        <v>0.08</v>
      </c>
      <c r="G52" s="13">
        <f t="shared" si="2"/>
        <v>499999.99999999994</v>
      </c>
      <c r="H52" s="3">
        <v>540000</v>
      </c>
      <c r="I52" s="4" t="s">
        <v>10</v>
      </c>
      <c r="J52" s="4" t="s">
        <v>8</v>
      </c>
      <c r="K52" s="4" t="s">
        <v>8</v>
      </c>
    </row>
    <row r="53" spans="1:11" ht="43.2" x14ac:dyDescent="0.3">
      <c r="A53" s="3">
        <v>52</v>
      </c>
      <c r="B53" s="4" t="s">
        <v>119</v>
      </c>
      <c r="C53" s="7" t="s">
        <v>120</v>
      </c>
      <c r="D53" s="4" t="s">
        <v>20</v>
      </c>
      <c r="E53" s="4" t="s">
        <v>250</v>
      </c>
      <c r="F53" s="11">
        <v>0.08</v>
      </c>
      <c r="G53" s="13">
        <f t="shared" si="2"/>
        <v>499999.99999999994</v>
      </c>
      <c r="H53" s="3">
        <v>540000</v>
      </c>
      <c r="I53" s="4" t="s">
        <v>10</v>
      </c>
      <c r="J53" s="4" t="s">
        <v>8</v>
      </c>
      <c r="K53" s="4" t="s">
        <v>8</v>
      </c>
    </row>
    <row r="54" spans="1:11" ht="28.8" x14ac:dyDescent="0.3">
      <c r="A54" s="3">
        <v>53</v>
      </c>
      <c r="B54" s="4" t="s">
        <v>121</v>
      </c>
      <c r="C54" s="7" t="s">
        <v>122</v>
      </c>
      <c r="D54" s="4" t="s">
        <v>123</v>
      </c>
      <c r="E54" s="4" t="s">
        <v>250</v>
      </c>
      <c r="F54" s="11">
        <v>0.08</v>
      </c>
      <c r="G54" s="13">
        <f t="shared" si="2"/>
        <v>91666.666666666657</v>
      </c>
      <c r="H54" s="3">
        <v>99000</v>
      </c>
      <c r="I54" s="4" t="s">
        <v>10</v>
      </c>
      <c r="J54" s="4" t="s">
        <v>8</v>
      </c>
      <c r="K54" s="4" t="s">
        <v>8</v>
      </c>
    </row>
    <row r="55" spans="1:11" ht="43.2" x14ac:dyDescent="0.3">
      <c r="A55" s="3">
        <v>54</v>
      </c>
      <c r="B55" s="4" t="s">
        <v>124</v>
      </c>
      <c r="C55" s="7" t="s">
        <v>125</v>
      </c>
      <c r="D55" s="4" t="s">
        <v>20</v>
      </c>
      <c r="E55" s="4" t="s">
        <v>250</v>
      </c>
      <c r="F55" s="11">
        <v>0.08</v>
      </c>
      <c r="G55" s="13">
        <f t="shared" si="2"/>
        <v>452777.77777777775</v>
      </c>
      <c r="H55" s="3">
        <v>489000</v>
      </c>
      <c r="I55" s="4" t="s">
        <v>10</v>
      </c>
      <c r="J55" s="4" t="s">
        <v>8</v>
      </c>
      <c r="K55" s="4" t="s">
        <v>8</v>
      </c>
    </row>
    <row r="56" spans="1:11" ht="14.4" x14ac:dyDescent="0.3">
      <c r="A56" s="3">
        <v>55</v>
      </c>
      <c r="B56" s="4" t="s">
        <v>126</v>
      </c>
      <c r="C56" s="7" t="s">
        <v>127</v>
      </c>
      <c r="D56" s="4" t="s">
        <v>23</v>
      </c>
      <c r="E56" s="4" t="s">
        <v>249</v>
      </c>
      <c r="F56" s="11">
        <v>0.05</v>
      </c>
      <c r="G56" s="13">
        <f t="shared" ref="G56:G59" si="3">H56/1.05</f>
        <v>57142.857142857138</v>
      </c>
      <c r="H56" s="3">
        <v>60000</v>
      </c>
      <c r="I56" s="4" t="s">
        <v>10</v>
      </c>
      <c r="J56" s="4" t="s">
        <v>8</v>
      </c>
      <c r="K56" s="4" t="s">
        <v>8</v>
      </c>
    </row>
    <row r="57" spans="1:11" ht="14.4" x14ac:dyDescent="0.3">
      <c r="A57" s="3">
        <v>56</v>
      </c>
      <c r="B57" s="4" t="s">
        <v>128</v>
      </c>
      <c r="C57" s="7" t="s">
        <v>129</v>
      </c>
      <c r="D57" s="4" t="s">
        <v>23</v>
      </c>
      <c r="E57" s="4" t="s">
        <v>249</v>
      </c>
      <c r="F57" s="11">
        <v>0.05</v>
      </c>
      <c r="G57" s="13">
        <f t="shared" si="3"/>
        <v>53333.333333333328</v>
      </c>
      <c r="H57" s="3">
        <v>56000</v>
      </c>
      <c r="I57" s="4" t="s">
        <v>10</v>
      </c>
      <c r="J57" s="4" t="s">
        <v>8</v>
      </c>
      <c r="K57" s="4" t="s">
        <v>8</v>
      </c>
    </row>
    <row r="58" spans="1:11" ht="14.4" x14ac:dyDescent="0.3">
      <c r="A58" s="3">
        <v>57</v>
      </c>
      <c r="B58" s="4" t="s">
        <v>130</v>
      </c>
      <c r="C58" s="7" t="s">
        <v>131</v>
      </c>
      <c r="D58" s="4" t="s">
        <v>13</v>
      </c>
      <c r="E58" s="4" t="s">
        <v>249</v>
      </c>
      <c r="F58" s="11">
        <v>0.05</v>
      </c>
      <c r="G58" s="13">
        <f t="shared" si="3"/>
        <v>34285.714285714283</v>
      </c>
      <c r="H58" s="3">
        <v>36000</v>
      </c>
      <c r="I58" s="4" t="s">
        <v>10</v>
      </c>
      <c r="J58" s="4" t="s">
        <v>8</v>
      </c>
      <c r="K58" s="4" t="s">
        <v>8</v>
      </c>
    </row>
    <row r="59" spans="1:11" ht="14.4" x14ac:dyDescent="0.3">
      <c r="A59" s="3">
        <v>58</v>
      </c>
      <c r="B59" s="4" t="s">
        <v>132</v>
      </c>
      <c r="C59" s="7" t="s">
        <v>133</v>
      </c>
      <c r="D59" s="4" t="s">
        <v>9</v>
      </c>
      <c r="E59" s="4" t="s">
        <v>249</v>
      </c>
      <c r="F59" s="11">
        <v>0.05</v>
      </c>
      <c r="G59" s="13">
        <f t="shared" si="3"/>
        <v>219047.61904761902</v>
      </c>
      <c r="H59" s="3">
        <v>230000</v>
      </c>
      <c r="I59" s="4" t="s">
        <v>10</v>
      </c>
      <c r="J59" s="4" t="s">
        <v>8</v>
      </c>
      <c r="K59" s="4" t="s">
        <v>8</v>
      </c>
    </row>
    <row r="60" spans="1:11" ht="14.4" x14ac:dyDescent="0.3">
      <c r="A60" s="3">
        <v>59</v>
      </c>
      <c r="B60" s="4" t="s">
        <v>134</v>
      </c>
      <c r="C60" s="7" t="s">
        <v>135</v>
      </c>
      <c r="D60" s="4" t="s">
        <v>23</v>
      </c>
      <c r="E60" s="4" t="s">
        <v>251</v>
      </c>
      <c r="F60" s="11">
        <v>0.08</v>
      </c>
      <c r="G60" s="13">
        <f t="shared" ref="G60:G63" si="4">H60/1.08</f>
        <v>814814.81481481472</v>
      </c>
      <c r="H60" s="3">
        <v>880000</v>
      </c>
      <c r="I60" s="4" t="s">
        <v>10</v>
      </c>
      <c r="J60" s="4" t="s">
        <v>8</v>
      </c>
      <c r="K60" s="4" t="s">
        <v>8</v>
      </c>
    </row>
    <row r="61" spans="1:11" ht="14.4" x14ac:dyDescent="0.3">
      <c r="A61" s="3">
        <v>60</v>
      </c>
      <c r="B61" s="4" t="s">
        <v>136</v>
      </c>
      <c r="C61" s="7" t="s">
        <v>137</v>
      </c>
      <c r="D61" s="4" t="s">
        <v>23</v>
      </c>
      <c r="E61" s="4" t="s">
        <v>251</v>
      </c>
      <c r="F61" s="11">
        <v>0.08</v>
      </c>
      <c r="G61" s="13">
        <f t="shared" si="4"/>
        <v>1543518.5185185184</v>
      </c>
      <c r="H61" s="3">
        <v>1667000</v>
      </c>
      <c r="I61" s="4" t="s">
        <v>10</v>
      </c>
      <c r="J61" s="4" t="s">
        <v>8</v>
      </c>
      <c r="K61" s="4" t="s">
        <v>8</v>
      </c>
    </row>
    <row r="62" spans="1:11" ht="28.8" x14ac:dyDescent="0.3">
      <c r="A62" s="3">
        <v>61</v>
      </c>
      <c r="B62" s="4" t="s">
        <v>138</v>
      </c>
      <c r="C62" s="7" t="s">
        <v>139</v>
      </c>
      <c r="D62" s="4" t="s">
        <v>9</v>
      </c>
      <c r="E62" s="4" t="s">
        <v>250</v>
      </c>
      <c r="F62" s="11">
        <v>0.08</v>
      </c>
      <c r="G62" s="13">
        <f t="shared" si="4"/>
        <v>351851.85185185185</v>
      </c>
      <c r="H62" s="3">
        <v>380000</v>
      </c>
      <c r="I62" s="4" t="s">
        <v>10</v>
      </c>
      <c r="J62" s="4" t="s">
        <v>8</v>
      </c>
      <c r="K62" s="4" t="s">
        <v>8</v>
      </c>
    </row>
    <row r="63" spans="1:11" ht="14.4" x14ac:dyDescent="0.3">
      <c r="A63" s="3">
        <v>62</v>
      </c>
      <c r="B63" s="4" t="s">
        <v>140</v>
      </c>
      <c r="C63" s="7" t="s">
        <v>141</v>
      </c>
      <c r="D63" s="4" t="s">
        <v>9</v>
      </c>
      <c r="E63" s="4" t="s">
        <v>251</v>
      </c>
      <c r="F63" s="11">
        <v>0.08</v>
      </c>
      <c r="G63" s="13">
        <f t="shared" si="4"/>
        <v>600925.92592592584</v>
      </c>
      <c r="H63" s="3">
        <v>649000</v>
      </c>
      <c r="I63" s="4" t="s">
        <v>10</v>
      </c>
      <c r="J63" s="4" t="s">
        <v>8</v>
      </c>
      <c r="K63" s="4" t="s">
        <v>8</v>
      </c>
    </row>
    <row r="64" spans="1:11" ht="28.8" x14ac:dyDescent="0.3">
      <c r="A64" s="3">
        <v>63</v>
      </c>
      <c r="B64" s="4" t="s">
        <v>142</v>
      </c>
      <c r="C64" s="7" t="s">
        <v>143</v>
      </c>
      <c r="D64" s="4" t="s">
        <v>144</v>
      </c>
      <c r="E64" s="4" t="s">
        <v>249</v>
      </c>
      <c r="F64" s="11">
        <v>0.05</v>
      </c>
      <c r="G64" s="13">
        <f t="shared" ref="G64:G65" si="5">H64/1.05</f>
        <v>80952.380952380947</v>
      </c>
      <c r="H64" s="3">
        <v>85000</v>
      </c>
      <c r="I64" s="4" t="s">
        <v>10</v>
      </c>
      <c r="J64" s="4" t="s">
        <v>8</v>
      </c>
      <c r="K64" s="4" t="s">
        <v>8</v>
      </c>
    </row>
    <row r="65" spans="1:11" ht="28.8" x14ac:dyDescent="0.3">
      <c r="A65" s="3">
        <v>64</v>
      </c>
      <c r="B65" s="4" t="s">
        <v>145</v>
      </c>
      <c r="C65" s="7" t="s">
        <v>146</v>
      </c>
      <c r="D65" s="4" t="s">
        <v>34</v>
      </c>
      <c r="E65" s="4" t="s">
        <v>249</v>
      </c>
      <c r="F65" s="11">
        <v>0.05</v>
      </c>
      <c r="G65" s="13">
        <f t="shared" si="5"/>
        <v>6666.6666666666661</v>
      </c>
      <c r="H65" s="3">
        <v>7000</v>
      </c>
      <c r="I65" s="4" t="s">
        <v>10</v>
      </c>
      <c r="J65" s="4" t="s">
        <v>8</v>
      </c>
      <c r="K65" s="4" t="s">
        <v>8</v>
      </c>
    </row>
    <row r="66" spans="1:11" ht="14.4" x14ac:dyDescent="0.3">
      <c r="A66" s="3">
        <v>65</v>
      </c>
      <c r="B66" s="4" t="s">
        <v>147</v>
      </c>
      <c r="C66" s="7" t="s">
        <v>148</v>
      </c>
      <c r="D66" s="4" t="s">
        <v>23</v>
      </c>
      <c r="E66" s="4" t="s">
        <v>250</v>
      </c>
      <c r="F66" s="11">
        <v>0.08</v>
      </c>
      <c r="G66" s="13">
        <f t="shared" ref="G66:G71" si="6">H66/1.08</f>
        <v>708333.33333333326</v>
      </c>
      <c r="H66" s="3">
        <v>765000</v>
      </c>
      <c r="I66" s="4" t="s">
        <v>10</v>
      </c>
      <c r="J66" s="4" t="s">
        <v>8</v>
      </c>
      <c r="K66" s="4" t="s">
        <v>8</v>
      </c>
    </row>
    <row r="67" spans="1:11" ht="14.4" x14ac:dyDescent="0.3">
      <c r="A67" s="3">
        <v>66</v>
      </c>
      <c r="B67" s="4" t="s">
        <v>149</v>
      </c>
      <c r="C67" s="7" t="s">
        <v>150</v>
      </c>
      <c r="D67" s="4" t="s">
        <v>23</v>
      </c>
      <c r="E67" s="4" t="s">
        <v>250</v>
      </c>
      <c r="F67" s="11">
        <v>0.08</v>
      </c>
      <c r="G67" s="13">
        <f t="shared" si="6"/>
        <v>314814.81481481477</v>
      </c>
      <c r="H67" s="3">
        <v>340000</v>
      </c>
      <c r="I67" s="4" t="s">
        <v>10</v>
      </c>
      <c r="J67" s="4" t="s">
        <v>8</v>
      </c>
      <c r="K67" s="4" t="s">
        <v>8</v>
      </c>
    </row>
    <row r="68" spans="1:11" ht="14.4" x14ac:dyDescent="0.3">
      <c r="A68" s="3">
        <v>67</v>
      </c>
      <c r="B68" s="4" t="s">
        <v>151</v>
      </c>
      <c r="C68" s="7" t="s">
        <v>152</v>
      </c>
      <c r="D68" s="4" t="s">
        <v>23</v>
      </c>
      <c r="E68" s="4" t="s">
        <v>250</v>
      </c>
      <c r="F68" s="11">
        <v>0.08</v>
      </c>
      <c r="G68" s="13">
        <f t="shared" si="6"/>
        <v>1759259.2592592591</v>
      </c>
      <c r="H68" s="3">
        <v>1900000</v>
      </c>
      <c r="I68" s="4" t="s">
        <v>10</v>
      </c>
      <c r="J68" s="4" t="s">
        <v>8</v>
      </c>
      <c r="K68" s="4" t="s">
        <v>8</v>
      </c>
    </row>
    <row r="69" spans="1:11" ht="14.4" x14ac:dyDescent="0.3">
      <c r="A69" s="3">
        <v>68</v>
      </c>
      <c r="B69" s="4" t="s">
        <v>153</v>
      </c>
      <c r="C69" s="7" t="s">
        <v>154</v>
      </c>
      <c r="D69" s="4" t="s">
        <v>23</v>
      </c>
      <c r="E69" s="4" t="s">
        <v>250</v>
      </c>
      <c r="F69" s="11">
        <v>0.08</v>
      </c>
      <c r="G69" s="13">
        <f t="shared" si="6"/>
        <v>2018518.5185185184</v>
      </c>
      <c r="H69" s="3">
        <v>2180000</v>
      </c>
      <c r="I69" s="4" t="s">
        <v>10</v>
      </c>
      <c r="J69" s="4" t="s">
        <v>8</v>
      </c>
      <c r="K69" s="4" t="s">
        <v>8</v>
      </c>
    </row>
    <row r="70" spans="1:11" ht="14.4" x14ac:dyDescent="0.3">
      <c r="A70" s="3">
        <v>69</v>
      </c>
      <c r="B70" s="4" t="s">
        <v>155</v>
      </c>
      <c r="C70" s="7" t="s">
        <v>156</v>
      </c>
      <c r="D70" s="4" t="s">
        <v>20</v>
      </c>
      <c r="E70" s="4" t="s">
        <v>250</v>
      </c>
      <c r="F70" s="11">
        <v>0.08</v>
      </c>
      <c r="G70" s="13">
        <f t="shared" si="6"/>
        <v>1064814.8148148148</v>
      </c>
      <c r="H70" s="3">
        <v>1150000</v>
      </c>
      <c r="I70" s="4" t="s">
        <v>10</v>
      </c>
      <c r="J70" s="4" t="s">
        <v>8</v>
      </c>
      <c r="K70" s="4" t="s">
        <v>8</v>
      </c>
    </row>
    <row r="71" spans="1:11" ht="28.8" x14ac:dyDescent="0.3">
      <c r="A71" s="3">
        <v>70</v>
      </c>
      <c r="B71" s="4" t="s">
        <v>157</v>
      </c>
      <c r="C71" s="7" t="s">
        <v>158</v>
      </c>
      <c r="D71" s="4" t="s">
        <v>9</v>
      </c>
      <c r="E71" s="4" t="s">
        <v>250</v>
      </c>
      <c r="F71" s="11">
        <v>0.08</v>
      </c>
      <c r="G71" s="13">
        <f t="shared" si="6"/>
        <v>2481481.4814814813</v>
      </c>
      <c r="H71" s="3">
        <v>2680000</v>
      </c>
      <c r="I71" s="4" t="s">
        <v>10</v>
      </c>
      <c r="J71" s="4" t="s">
        <v>8</v>
      </c>
      <c r="K71" s="4" t="s">
        <v>8</v>
      </c>
    </row>
    <row r="72" spans="1:11" ht="14.4" x14ac:dyDescent="0.3">
      <c r="A72" s="3">
        <v>71</v>
      </c>
      <c r="B72" s="4" t="s">
        <v>159</v>
      </c>
      <c r="C72" s="7" t="s">
        <v>160</v>
      </c>
      <c r="D72" s="4" t="s">
        <v>23</v>
      </c>
      <c r="E72" s="4" t="s">
        <v>249</v>
      </c>
      <c r="F72" s="11">
        <v>0.05</v>
      </c>
      <c r="G72" s="13">
        <f>H72/1.05</f>
        <v>190476.19047619047</v>
      </c>
      <c r="H72" s="3">
        <v>200000</v>
      </c>
      <c r="I72" s="4" t="s">
        <v>10</v>
      </c>
      <c r="J72" s="4" t="s">
        <v>8</v>
      </c>
      <c r="K72" s="4" t="s">
        <v>8</v>
      </c>
    </row>
    <row r="73" spans="1:11" ht="14.4" x14ac:dyDescent="0.3">
      <c r="A73" s="3">
        <v>72</v>
      </c>
      <c r="B73" s="4" t="s">
        <v>161</v>
      </c>
      <c r="C73" s="7" t="s">
        <v>162</v>
      </c>
      <c r="D73" s="4" t="s">
        <v>9</v>
      </c>
      <c r="E73" s="4" t="s">
        <v>251</v>
      </c>
      <c r="F73" s="11">
        <v>0.08</v>
      </c>
      <c r="G73" s="13">
        <f>H73/1.08</f>
        <v>592592.59259259258</v>
      </c>
      <c r="H73" s="3">
        <v>640000</v>
      </c>
      <c r="I73" s="4" t="s">
        <v>10</v>
      </c>
      <c r="J73" s="4" t="s">
        <v>8</v>
      </c>
      <c r="K73" s="4" t="s">
        <v>8</v>
      </c>
    </row>
    <row r="74" spans="1:11" ht="14.4" x14ac:dyDescent="0.3">
      <c r="A74" s="3">
        <v>73</v>
      </c>
      <c r="B74" s="4" t="s">
        <v>163</v>
      </c>
      <c r="C74" s="7" t="s">
        <v>164</v>
      </c>
      <c r="D74" s="4" t="s">
        <v>23</v>
      </c>
      <c r="E74" s="4"/>
      <c r="F74" s="11"/>
      <c r="G74" s="3">
        <v>0</v>
      </c>
      <c r="H74" s="3">
        <v>500000</v>
      </c>
      <c r="I74" s="4" t="s">
        <v>10</v>
      </c>
      <c r="J74" s="4" t="s">
        <v>8</v>
      </c>
      <c r="K74" s="4" t="s">
        <v>8</v>
      </c>
    </row>
    <row r="75" spans="1:11" ht="14.4" x14ac:dyDescent="0.3">
      <c r="A75" s="3">
        <v>74</v>
      </c>
      <c r="B75" s="4" t="s">
        <v>165</v>
      </c>
      <c r="C75" s="7" t="s">
        <v>166</v>
      </c>
      <c r="D75" s="4" t="s">
        <v>23</v>
      </c>
      <c r="E75" s="4"/>
      <c r="F75" s="11"/>
      <c r="G75" s="3">
        <v>0</v>
      </c>
      <c r="H75" s="3">
        <v>2600000</v>
      </c>
      <c r="I75" s="4" t="s">
        <v>10</v>
      </c>
      <c r="J75" s="4" t="s">
        <v>8</v>
      </c>
      <c r="K75" s="4" t="s">
        <v>8</v>
      </c>
    </row>
    <row r="76" spans="1:11" ht="28.8" x14ac:dyDescent="0.3">
      <c r="A76" s="3">
        <v>75</v>
      </c>
      <c r="B76" s="4" t="s">
        <v>167</v>
      </c>
      <c r="C76" s="7" t="s">
        <v>168</v>
      </c>
      <c r="D76" s="4" t="s">
        <v>23</v>
      </c>
      <c r="E76" s="4"/>
      <c r="F76" s="11"/>
      <c r="G76" s="3">
        <v>0</v>
      </c>
      <c r="H76" s="3">
        <v>1000000</v>
      </c>
      <c r="I76" s="4" t="s">
        <v>10</v>
      </c>
      <c r="J76" s="4" t="s">
        <v>8</v>
      </c>
      <c r="K76" s="4" t="s">
        <v>8</v>
      </c>
    </row>
    <row r="77" spans="1:11" ht="14.4" x14ac:dyDescent="0.3">
      <c r="A77" s="3">
        <v>76</v>
      </c>
      <c r="B77" s="4" t="s">
        <v>169</v>
      </c>
      <c r="C77" s="7" t="s">
        <v>170</v>
      </c>
      <c r="D77" s="4" t="s">
        <v>23</v>
      </c>
      <c r="E77" s="4"/>
      <c r="F77" s="11">
        <v>0.08</v>
      </c>
      <c r="G77" s="13">
        <f t="shared" ref="G77:G85" si="7">H77/1.08</f>
        <v>1851851.8518518517</v>
      </c>
      <c r="H77" s="3">
        <v>2000000</v>
      </c>
      <c r="I77" s="4" t="s">
        <v>10</v>
      </c>
      <c r="J77" s="4" t="s">
        <v>8</v>
      </c>
      <c r="K77" s="4" t="s">
        <v>8</v>
      </c>
    </row>
    <row r="78" spans="1:11" ht="14.4" x14ac:dyDescent="0.3">
      <c r="A78" s="3">
        <v>77</v>
      </c>
      <c r="B78" s="4" t="s">
        <v>171</v>
      </c>
      <c r="C78" s="7" t="s">
        <v>172</v>
      </c>
      <c r="D78" s="4" t="s">
        <v>20</v>
      </c>
      <c r="E78" s="4" t="s">
        <v>250</v>
      </c>
      <c r="F78" s="11">
        <v>0.08</v>
      </c>
      <c r="G78" s="13">
        <f t="shared" si="7"/>
        <v>486111.11111111107</v>
      </c>
      <c r="H78" s="3">
        <v>525000</v>
      </c>
      <c r="I78" s="4" t="s">
        <v>10</v>
      </c>
      <c r="J78" s="4" t="s">
        <v>8</v>
      </c>
      <c r="K78" s="4" t="s">
        <v>8</v>
      </c>
    </row>
    <row r="79" spans="1:11" ht="14.4" x14ac:dyDescent="0.3">
      <c r="A79" s="3">
        <v>78</v>
      </c>
      <c r="B79" s="4" t="s">
        <v>173</v>
      </c>
      <c r="C79" s="7" t="s">
        <v>174</v>
      </c>
      <c r="D79" s="4" t="s">
        <v>20</v>
      </c>
      <c r="E79" s="4" t="s">
        <v>250</v>
      </c>
      <c r="F79" s="11">
        <v>0.08</v>
      </c>
      <c r="G79" s="13">
        <f t="shared" si="7"/>
        <v>486111.11111111107</v>
      </c>
      <c r="H79" s="3">
        <v>525000</v>
      </c>
      <c r="I79" s="4" t="s">
        <v>10</v>
      </c>
      <c r="J79" s="4" t="s">
        <v>8</v>
      </c>
      <c r="K79" s="4" t="s">
        <v>8</v>
      </c>
    </row>
    <row r="80" spans="1:11" ht="28.8" x14ac:dyDescent="0.3">
      <c r="A80" s="3">
        <v>79</v>
      </c>
      <c r="B80" s="4" t="s">
        <v>175</v>
      </c>
      <c r="C80" s="7" t="s">
        <v>176</v>
      </c>
      <c r="D80" s="4" t="s">
        <v>9</v>
      </c>
      <c r="E80" s="4" t="s">
        <v>250</v>
      </c>
      <c r="F80" s="11">
        <v>0.08</v>
      </c>
      <c r="G80" s="13">
        <f t="shared" si="7"/>
        <v>1564814.8148148146</v>
      </c>
      <c r="H80" s="3">
        <v>1690000</v>
      </c>
      <c r="I80" s="4" t="s">
        <v>10</v>
      </c>
      <c r="J80" s="4" t="s">
        <v>8</v>
      </c>
      <c r="K80" s="4" t="s">
        <v>8</v>
      </c>
    </row>
    <row r="81" spans="1:11" ht="43.2" x14ac:dyDescent="0.3">
      <c r="A81" s="3">
        <v>80</v>
      </c>
      <c r="B81" s="4" t="s">
        <v>177</v>
      </c>
      <c r="C81" s="7" t="s">
        <v>178</v>
      </c>
      <c r="D81" s="4" t="s">
        <v>20</v>
      </c>
      <c r="E81" s="4" t="s">
        <v>250</v>
      </c>
      <c r="F81" s="11">
        <v>0.08</v>
      </c>
      <c r="G81" s="13">
        <f t="shared" si="7"/>
        <v>680555.5555555555</v>
      </c>
      <c r="H81" s="3">
        <v>735000</v>
      </c>
      <c r="I81" s="4" t="s">
        <v>10</v>
      </c>
      <c r="J81" s="4" t="s">
        <v>8</v>
      </c>
      <c r="K81" s="4" t="s">
        <v>8</v>
      </c>
    </row>
    <row r="82" spans="1:11" ht="43.2" x14ac:dyDescent="0.3">
      <c r="A82" s="3">
        <v>81</v>
      </c>
      <c r="B82" s="4" t="s">
        <v>179</v>
      </c>
      <c r="C82" s="7" t="s">
        <v>180</v>
      </c>
      <c r="D82" s="4" t="s">
        <v>20</v>
      </c>
      <c r="E82" s="4" t="s">
        <v>250</v>
      </c>
      <c r="F82" s="11">
        <v>0.08</v>
      </c>
      <c r="G82" s="13">
        <f t="shared" si="7"/>
        <v>703703.70370370371</v>
      </c>
      <c r="H82" s="3">
        <v>760000</v>
      </c>
      <c r="I82" s="4" t="s">
        <v>10</v>
      </c>
      <c r="J82" s="4" t="s">
        <v>8</v>
      </c>
      <c r="K82" s="4" t="s">
        <v>8</v>
      </c>
    </row>
    <row r="83" spans="1:11" ht="14.4" x14ac:dyDescent="0.3">
      <c r="A83" s="3">
        <v>82</v>
      </c>
      <c r="B83" s="4" t="s">
        <v>181</v>
      </c>
      <c r="C83" s="7" t="s">
        <v>182</v>
      </c>
      <c r="D83" s="4" t="s">
        <v>20</v>
      </c>
      <c r="E83" s="4" t="s">
        <v>250</v>
      </c>
      <c r="F83" s="11">
        <v>0.08</v>
      </c>
      <c r="G83" s="13">
        <f t="shared" si="7"/>
        <v>907407.4074074073</v>
      </c>
      <c r="H83" s="3">
        <v>980000</v>
      </c>
      <c r="I83" s="4" t="s">
        <v>10</v>
      </c>
      <c r="J83" s="4" t="s">
        <v>8</v>
      </c>
      <c r="K83" s="4" t="s">
        <v>8</v>
      </c>
    </row>
    <row r="84" spans="1:11" ht="14.4" x14ac:dyDescent="0.3">
      <c r="A84" s="3">
        <v>83</v>
      </c>
      <c r="B84" s="4" t="s">
        <v>183</v>
      </c>
      <c r="C84" s="7" t="s">
        <v>184</v>
      </c>
      <c r="D84" s="4" t="s">
        <v>20</v>
      </c>
      <c r="E84" s="4" t="s">
        <v>250</v>
      </c>
      <c r="F84" s="11">
        <v>0.08</v>
      </c>
      <c r="G84" s="13">
        <f t="shared" si="7"/>
        <v>361111.11111111107</v>
      </c>
      <c r="H84" s="3">
        <v>390000</v>
      </c>
      <c r="I84" s="4" t="s">
        <v>10</v>
      </c>
      <c r="J84" s="4" t="s">
        <v>8</v>
      </c>
      <c r="K84" s="4" t="s">
        <v>8</v>
      </c>
    </row>
    <row r="85" spans="1:11" ht="14.4" x14ac:dyDescent="0.3">
      <c r="A85" s="3">
        <v>84</v>
      </c>
      <c r="B85" s="4" t="s">
        <v>185</v>
      </c>
      <c r="C85" s="7" t="s">
        <v>186</v>
      </c>
      <c r="D85" s="4" t="s">
        <v>20</v>
      </c>
      <c r="E85" s="4" t="s">
        <v>250</v>
      </c>
      <c r="F85" s="11">
        <v>0.08</v>
      </c>
      <c r="G85" s="13">
        <f t="shared" si="7"/>
        <v>489814.81481481477</v>
      </c>
      <c r="H85" s="3">
        <v>529000</v>
      </c>
      <c r="I85" s="4" t="s">
        <v>10</v>
      </c>
      <c r="J85" s="4" t="s">
        <v>8</v>
      </c>
      <c r="K85" s="4" t="s">
        <v>8</v>
      </c>
    </row>
    <row r="86" spans="1:11" ht="14.4" x14ac:dyDescent="0.3">
      <c r="A86" s="3">
        <v>85</v>
      </c>
      <c r="B86" s="4" t="s">
        <v>187</v>
      </c>
      <c r="C86" s="7" t="s">
        <v>188</v>
      </c>
      <c r="D86" s="4" t="s">
        <v>23</v>
      </c>
      <c r="E86" s="4"/>
      <c r="F86" s="11"/>
      <c r="G86" s="3">
        <v>0</v>
      </c>
      <c r="H86" s="3">
        <v>300000</v>
      </c>
      <c r="I86" s="4" t="s">
        <v>10</v>
      </c>
      <c r="J86" s="4" t="s">
        <v>8</v>
      </c>
      <c r="K86" s="4" t="s">
        <v>8</v>
      </c>
    </row>
    <row r="87" spans="1:11" ht="14.4" x14ac:dyDescent="0.3">
      <c r="A87" s="3">
        <v>86</v>
      </c>
      <c r="B87" s="4" t="s">
        <v>189</v>
      </c>
      <c r="C87" s="7" t="s">
        <v>190</v>
      </c>
      <c r="D87" s="4" t="s">
        <v>23</v>
      </c>
      <c r="E87" s="4"/>
      <c r="F87" s="11"/>
      <c r="G87" s="3">
        <v>0</v>
      </c>
      <c r="H87" s="3">
        <v>40000</v>
      </c>
      <c r="I87" s="4" t="s">
        <v>10</v>
      </c>
      <c r="J87" s="4" t="s">
        <v>8</v>
      </c>
      <c r="K87" s="4" t="s">
        <v>8</v>
      </c>
    </row>
    <row r="88" spans="1:11" ht="14.4" x14ac:dyDescent="0.3">
      <c r="A88" s="3">
        <v>87</v>
      </c>
      <c r="B88" s="4" t="s">
        <v>191</v>
      </c>
      <c r="C88" s="7" t="s">
        <v>192</v>
      </c>
      <c r="D88" s="4" t="s">
        <v>93</v>
      </c>
      <c r="E88" s="4" t="s">
        <v>250</v>
      </c>
      <c r="F88" s="11">
        <v>0.08</v>
      </c>
      <c r="G88" s="13">
        <f>H88/1.08</f>
        <v>1500000</v>
      </c>
      <c r="H88" s="3">
        <v>1620000</v>
      </c>
      <c r="I88" s="4" t="s">
        <v>10</v>
      </c>
      <c r="J88" s="4" t="s">
        <v>8</v>
      </c>
      <c r="K88" s="4" t="s">
        <v>8</v>
      </c>
    </row>
    <row r="89" spans="1:11" ht="14.4" x14ac:dyDescent="0.3">
      <c r="A89" s="3">
        <v>88</v>
      </c>
      <c r="B89" s="4" t="s">
        <v>193</v>
      </c>
      <c r="C89" s="7" t="s">
        <v>194</v>
      </c>
      <c r="D89" s="4" t="s">
        <v>20</v>
      </c>
      <c r="E89" s="4"/>
      <c r="F89" s="11"/>
      <c r="G89" s="3">
        <v>0</v>
      </c>
      <c r="H89" s="3">
        <v>520000</v>
      </c>
      <c r="I89" s="4" t="s">
        <v>10</v>
      </c>
      <c r="J89" s="4" t="s">
        <v>8</v>
      </c>
      <c r="K89" s="4" t="s">
        <v>8</v>
      </c>
    </row>
    <row r="90" spans="1:11" ht="14.4" x14ac:dyDescent="0.3">
      <c r="A90" s="3">
        <v>89</v>
      </c>
      <c r="B90" s="4" t="s">
        <v>195</v>
      </c>
      <c r="C90" s="7" t="s">
        <v>196</v>
      </c>
      <c r="D90" s="4" t="s">
        <v>23</v>
      </c>
      <c r="E90" s="4" t="s">
        <v>249</v>
      </c>
      <c r="F90" s="11">
        <v>0.05</v>
      </c>
      <c r="G90" s="13">
        <f>H90/1.05</f>
        <v>47619.047619047618</v>
      </c>
      <c r="H90" s="3">
        <v>50000</v>
      </c>
      <c r="I90" s="4" t="s">
        <v>10</v>
      </c>
      <c r="J90" s="4" t="s">
        <v>8</v>
      </c>
      <c r="K90" s="4" t="s">
        <v>8</v>
      </c>
    </row>
    <row r="91" spans="1:11" ht="28.8" x14ac:dyDescent="0.3">
      <c r="A91" s="3">
        <v>90</v>
      </c>
      <c r="B91" s="4" t="s">
        <v>197</v>
      </c>
      <c r="C91" s="7" t="s">
        <v>198</v>
      </c>
      <c r="D91" s="4" t="s">
        <v>20</v>
      </c>
      <c r="E91" s="4" t="s">
        <v>251</v>
      </c>
      <c r="F91" s="11">
        <v>0.08</v>
      </c>
      <c r="G91" s="13">
        <f>H91/1.08</f>
        <v>529629.62962962955</v>
      </c>
      <c r="H91" s="3">
        <v>572000</v>
      </c>
      <c r="I91" s="4" t="s">
        <v>10</v>
      </c>
      <c r="J91" s="4" t="s">
        <v>8</v>
      </c>
      <c r="K91" s="4" t="s">
        <v>8</v>
      </c>
    </row>
    <row r="92" spans="1:11" ht="14.4" x14ac:dyDescent="0.3">
      <c r="A92" s="3">
        <v>91</v>
      </c>
      <c r="B92" s="4" t="s">
        <v>199</v>
      </c>
      <c r="C92" s="7" t="s">
        <v>200</v>
      </c>
      <c r="D92" s="4" t="s">
        <v>23</v>
      </c>
      <c r="E92" s="4" t="s">
        <v>249</v>
      </c>
      <c r="F92" s="11">
        <v>0.05</v>
      </c>
      <c r="G92" s="13">
        <f>H92/1.05</f>
        <v>142857.14285714284</v>
      </c>
      <c r="H92" s="3">
        <v>150000</v>
      </c>
      <c r="I92" s="4" t="s">
        <v>10</v>
      </c>
      <c r="J92" s="4" t="s">
        <v>8</v>
      </c>
      <c r="K92" s="4" t="s">
        <v>8</v>
      </c>
    </row>
    <row r="93" spans="1:11" ht="14.4" x14ac:dyDescent="0.3">
      <c r="A93" s="3">
        <v>92</v>
      </c>
      <c r="B93" s="4" t="s">
        <v>201</v>
      </c>
      <c r="C93" s="7" t="s">
        <v>202</v>
      </c>
      <c r="D93" s="4" t="s">
        <v>20</v>
      </c>
      <c r="E93" s="4" t="s">
        <v>250</v>
      </c>
      <c r="F93" s="11">
        <v>0.08</v>
      </c>
      <c r="G93" s="13">
        <f>H93/1.08</f>
        <v>999999.99999999988</v>
      </c>
      <c r="H93" s="3">
        <v>1080000</v>
      </c>
      <c r="I93" s="4" t="s">
        <v>10</v>
      </c>
      <c r="J93" s="4" t="s">
        <v>8</v>
      </c>
      <c r="K93" s="4" t="s">
        <v>8</v>
      </c>
    </row>
    <row r="94" spans="1:11" ht="14.4" x14ac:dyDescent="0.3">
      <c r="A94" s="3">
        <v>93</v>
      </c>
      <c r="B94" s="4" t="s">
        <v>203</v>
      </c>
      <c r="C94" s="7" t="s">
        <v>204</v>
      </c>
      <c r="D94" s="4" t="s">
        <v>13</v>
      </c>
      <c r="E94" s="4" t="s">
        <v>249</v>
      </c>
      <c r="F94" s="11">
        <v>0.05</v>
      </c>
      <c r="G94" s="13">
        <f>H94/1.05</f>
        <v>14095.238095238095</v>
      </c>
      <c r="H94" s="3">
        <v>14800</v>
      </c>
      <c r="I94" s="4" t="s">
        <v>10</v>
      </c>
      <c r="J94" s="4" t="s">
        <v>8</v>
      </c>
      <c r="K94" s="4" t="s">
        <v>8</v>
      </c>
    </row>
    <row r="95" spans="1:11" ht="28.8" x14ac:dyDescent="0.3">
      <c r="A95" s="3">
        <v>94</v>
      </c>
      <c r="B95" s="4" t="s">
        <v>205</v>
      </c>
      <c r="C95" s="7" t="s">
        <v>206</v>
      </c>
      <c r="D95" s="4" t="s">
        <v>23</v>
      </c>
      <c r="E95" s="4" t="s">
        <v>250</v>
      </c>
      <c r="F95" s="11">
        <v>0.08</v>
      </c>
      <c r="G95" s="13">
        <f t="shared" ref="G95:G96" si="8">H95/1.08</f>
        <v>508333.33333333331</v>
      </c>
      <c r="H95" s="3">
        <v>549000</v>
      </c>
      <c r="I95" s="4" t="s">
        <v>10</v>
      </c>
      <c r="J95" s="4" t="s">
        <v>8</v>
      </c>
      <c r="K95" s="4" t="s">
        <v>8</v>
      </c>
    </row>
    <row r="96" spans="1:11" ht="14.4" x14ac:dyDescent="0.3">
      <c r="A96" s="3">
        <v>95</v>
      </c>
      <c r="B96" s="4" t="s">
        <v>207</v>
      </c>
      <c r="C96" s="7" t="s">
        <v>208</v>
      </c>
      <c r="D96" s="4" t="s">
        <v>23</v>
      </c>
      <c r="E96" s="4" t="s">
        <v>250</v>
      </c>
      <c r="F96" s="11">
        <v>0.08</v>
      </c>
      <c r="G96" s="13">
        <f t="shared" si="8"/>
        <v>546296.29629629629</v>
      </c>
      <c r="H96" s="3">
        <v>590000</v>
      </c>
      <c r="I96" s="4" t="s">
        <v>10</v>
      </c>
      <c r="J96" s="4" t="s">
        <v>8</v>
      </c>
      <c r="K96" s="4" t="s">
        <v>8</v>
      </c>
    </row>
    <row r="97" spans="1:11" ht="14.4" x14ac:dyDescent="0.3">
      <c r="A97" s="3">
        <v>96</v>
      </c>
      <c r="B97" s="4" t="s">
        <v>209</v>
      </c>
      <c r="C97" s="7" t="s">
        <v>210</v>
      </c>
      <c r="D97" s="4" t="s">
        <v>13</v>
      </c>
      <c r="E97" s="4" t="s">
        <v>249</v>
      </c>
      <c r="F97" s="11">
        <v>0.05</v>
      </c>
      <c r="G97" s="13">
        <f>H97/1.05</f>
        <v>10476.190476190475</v>
      </c>
      <c r="H97" s="3">
        <v>11000</v>
      </c>
      <c r="I97" s="4" t="s">
        <v>10</v>
      </c>
      <c r="J97" s="4" t="s">
        <v>8</v>
      </c>
      <c r="K97" s="4" t="s">
        <v>8</v>
      </c>
    </row>
    <row r="98" spans="1:11" ht="43.2" x14ac:dyDescent="0.3">
      <c r="A98" s="3">
        <v>97</v>
      </c>
      <c r="B98" s="4" t="s">
        <v>211</v>
      </c>
      <c r="C98" s="7" t="s">
        <v>212</v>
      </c>
      <c r="D98" s="4" t="s">
        <v>20</v>
      </c>
      <c r="E98" s="4" t="s">
        <v>250</v>
      </c>
      <c r="F98" s="11">
        <v>0.08</v>
      </c>
      <c r="G98" s="13">
        <f>H98/1.08</f>
        <v>546296.29629629629</v>
      </c>
      <c r="H98" s="3">
        <v>590000</v>
      </c>
      <c r="I98" s="4" t="s">
        <v>10</v>
      </c>
      <c r="J98" s="4" t="s">
        <v>8</v>
      </c>
      <c r="K98" s="4" t="s">
        <v>8</v>
      </c>
    </row>
    <row r="99" spans="1:11" ht="14.4" x14ac:dyDescent="0.3">
      <c r="A99" s="3">
        <v>98</v>
      </c>
      <c r="B99" s="4" t="s">
        <v>213</v>
      </c>
      <c r="C99" s="7" t="s">
        <v>214</v>
      </c>
      <c r="D99" s="4" t="s">
        <v>9</v>
      </c>
      <c r="E99" s="4" t="s">
        <v>249</v>
      </c>
      <c r="F99" s="11">
        <v>0.05</v>
      </c>
      <c r="G99" s="13">
        <f t="shared" ref="G99:G100" si="9">H99/1.05</f>
        <v>742857.14285714284</v>
      </c>
      <c r="H99" s="3">
        <v>780000</v>
      </c>
      <c r="I99" s="4" t="s">
        <v>10</v>
      </c>
      <c r="J99" s="4" t="s">
        <v>8</v>
      </c>
      <c r="K99" s="4" t="s">
        <v>8</v>
      </c>
    </row>
    <row r="100" spans="1:11" ht="28.8" x14ac:dyDescent="0.3">
      <c r="A100" s="3">
        <v>99</v>
      </c>
      <c r="B100" s="4" t="s">
        <v>215</v>
      </c>
      <c r="C100" s="7" t="s">
        <v>216</v>
      </c>
      <c r="D100" s="4" t="s">
        <v>23</v>
      </c>
      <c r="E100" s="4" t="s">
        <v>249</v>
      </c>
      <c r="F100" s="11">
        <v>0.05</v>
      </c>
      <c r="G100" s="13">
        <f t="shared" si="9"/>
        <v>42857.142857142855</v>
      </c>
      <c r="H100" s="3">
        <v>45000</v>
      </c>
      <c r="I100" s="4" t="s">
        <v>10</v>
      </c>
      <c r="J100" s="4" t="s">
        <v>8</v>
      </c>
      <c r="K100" s="4" t="s">
        <v>8</v>
      </c>
    </row>
    <row r="101" spans="1:11" ht="43.2" x14ac:dyDescent="0.3">
      <c r="A101" s="3">
        <v>100</v>
      </c>
      <c r="B101" s="4" t="s">
        <v>217</v>
      </c>
      <c r="C101" s="7" t="s">
        <v>218</v>
      </c>
      <c r="D101" s="4" t="s">
        <v>20</v>
      </c>
      <c r="E101" s="4" t="s">
        <v>250</v>
      </c>
      <c r="F101" s="11">
        <v>0.08</v>
      </c>
      <c r="G101" s="13">
        <f t="shared" ref="G101:G104" si="10">H101/1.08</f>
        <v>351851.85185185185</v>
      </c>
      <c r="H101" s="3">
        <v>380000</v>
      </c>
      <c r="I101" s="4" t="s">
        <v>10</v>
      </c>
      <c r="J101" s="4" t="s">
        <v>8</v>
      </c>
      <c r="K101" s="4" t="s">
        <v>8</v>
      </c>
    </row>
    <row r="102" spans="1:11" ht="14.4" x14ac:dyDescent="0.3">
      <c r="A102" s="3">
        <v>101</v>
      </c>
      <c r="B102" s="4" t="s">
        <v>219</v>
      </c>
      <c r="C102" s="7" t="s">
        <v>220</v>
      </c>
      <c r="D102" s="4" t="s">
        <v>9</v>
      </c>
      <c r="E102" s="4" t="s">
        <v>250</v>
      </c>
      <c r="F102" s="11">
        <v>0.08</v>
      </c>
      <c r="G102" s="13">
        <f t="shared" si="10"/>
        <v>1322222.2222222222</v>
      </c>
      <c r="H102" s="3">
        <v>1428000</v>
      </c>
      <c r="I102" s="4" t="s">
        <v>10</v>
      </c>
      <c r="J102" s="4" t="s">
        <v>8</v>
      </c>
      <c r="K102" s="4" t="s">
        <v>8</v>
      </c>
    </row>
    <row r="103" spans="1:11" ht="28.8" x14ac:dyDescent="0.3">
      <c r="A103" s="3">
        <v>102</v>
      </c>
      <c r="B103" s="4" t="s">
        <v>221</v>
      </c>
      <c r="C103" s="7" t="s">
        <v>222</v>
      </c>
      <c r="D103" s="4" t="s">
        <v>9</v>
      </c>
      <c r="E103" s="4" t="s">
        <v>250</v>
      </c>
      <c r="F103" s="11">
        <v>0.08</v>
      </c>
      <c r="G103" s="13">
        <f t="shared" si="10"/>
        <v>1405555.5555555555</v>
      </c>
      <c r="H103" s="3">
        <v>1518000</v>
      </c>
      <c r="I103" s="4" t="s">
        <v>10</v>
      </c>
      <c r="J103" s="4" t="s">
        <v>8</v>
      </c>
      <c r="K103" s="4" t="s">
        <v>8</v>
      </c>
    </row>
    <row r="104" spans="1:11" ht="28.8" x14ac:dyDescent="0.3">
      <c r="A104" s="3">
        <v>103</v>
      </c>
      <c r="B104" s="4" t="s">
        <v>223</v>
      </c>
      <c r="C104" s="7" t="s">
        <v>224</v>
      </c>
      <c r="D104" s="4" t="s">
        <v>23</v>
      </c>
      <c r="E104" s="4" t="s">
        <v>250</v>
      </c>
      <c r="F104" s="11">
        <v>0.08</v>
      </c>
      <c r="G104" s="13">
        <f t="shared" si="10"/>
        <v>1069444.4444444443</v>
      </c>
      <c r="H104" s="3">
        <v>1155000</v>
      </c>
      <c r="I104" s="4" t="s">
        <v>10</v>
      </c>
      <c r="J104" s="4" t="s">
        <v>8</v>
      </c>
      <c r="K104" s="4" t="s">
        <v>8</v>
      </c>
    </row>
    <row r="105" spans="1:11" ht="14.4" x14ac:dyDescent="0.3">
      <c r="A105" s="3">
        <v>104</v>
      </c>
      <c r="B105" s="4" t="s">
        <v>225</v>
      </c>
      <c r="C105" s="7" t="s">
        <v>226</v>
      </c>
      <c r="D105" s="4" t="s">
        <v>23</v>
      </c>
      <c r="E105" s="4" t="s">
        <v>249</v>
      </c>
      <c r="F105" s="11">
        <v>0.05</v>
      </c>
      <c r="G105" s="13">
        <f t="shared" ref="G105:G106" si="11">H105/1.05</f>
        <v>52380.952380952382</v>
      </c>
      <c r="H105" s="3">
        <v>55000</v>
      </c>
      <c r="I105" s="4" t="s">
        <v>10</v>
      </c>
      <c r="J105" s="4" t="s">
        <v>8</v>
      </c>
      <c r="K105" s="4" t="s">
        <v>8</v>
      </c>
    </row>
    <row r="106" spans="1:11" ht="14.4" x14ac:dyDescent="0.3">
      <c r="A106" s="3">
        <v>105</v>
      </c>
      <c r="B106" s="4" t="s">
        <v>227</v>
      </c>
      <c r="C106" s="7" t="s">
        <v>228</v>
      </c>
      <c r="D106" s="4" t="s">
        <v>23</v>
      </c>
      <c r="E106" s="4" t="s">
        <v>249</v>
      </c>
      <c r="F106" s="11">
        <v>0.05</v>
      </c>
      <c r="G106" s="13">
        <f t="shared" si="11"/>
        <v>185714.28571428571</v>
      </c>
      <c r="H106" s="3">
        <v>195000</v>
      </c>
      <c r="I106" s="4" t="s">
        <v>10</v>
      </c>
      <c r="J106" s="4" t="s">
        <v>8</v>
      </c>
      <c r="K106" s="4" t="s">
        <v>8</v>
      </c>
    </row>
    <row r="107" spans="1:11" ht="14.4" x14ac:dyDescent="0.3">
      <c r="A107" s="3">
        <v>106</v>
      </c>
      <c r="B107" s="4" t="s">
        <v>229</v>
      </c>
      <c r="C107" s="7" t="s">
        <v>230</v>
      </c>
      <c r="D107" s="4" t="s">
        <v>23</v>
      </c>
      <c r="E107" s="4" t="s">
        <v>250</v>
      </c>
      <c r="F107" s="11">
        <v>0.08</v>
      </c>
      <c r="G107" s="13">
        <f>H107/1.08</f>
        <v>0</v>
      </c>
      <c r="H107" s="3">
        <v>0</v>
      </c>
      <c r="I107" s="4" t="s">
        <v>10</v>
      </c>
      <c r="J107" s="4" t="s">
        <v>8</v>
      </c>
      <c r="K107" s="4" t="s">
        <v>8</v>
      </c>
    </row>
    <row r="108" spans="1:11" ht="14.4" x14ac:dyDescent="0.3">
      <c r="A108" s="3">
        <v>108</v>
      </c>
      <c r="B108" s="4" t="s">
        <v>231</v>
      </c>
      <c r="C108" s="7" t="s">
        <v>232</v>
      </c>
      <c r="D108" s="4" t="s">
        <v>23</v>
      </c>
      <c r="E108" s="4" t="s">
        <v>249</v>
      </c>
      <c r="F108" s="11">
        <v>0.05</v>
      </c>
      <c r="G108" s="13">
        <f>H108/1.05</f>
        <v>53333.333333333328</v>
      </c>
      <c r="H108" s="3">
        <v>56000</v>
      </c>
      <c r="I108" s="4" t="s">
        <v>10</v>
      </c>
      <c r="J108" s="4" t="s">
        <v>8</v>
      </c>
      <c r="K108" s="4" t="s">
        <v>8</v>
      </c>
    </row>
    <row r="109" spans="1:11" ht="28.8" x14ac:dyDescent="0.3">
      <c r="A109" s="3">
        <v>109</v>
      </c>
      <c r="B109" s="4" t="s">
        <v>233</v>
      </c>
      <c r="C109" s="7" t="s">
        <v>234</v>
      </c>
      <c r="D109" s="4" t="s">
        <v>23</v>
      </c>
      <c r="E109" s="4" t="s">
        <v>250</v>
      </c>
      <c r="F109" s="11">
        <v>0.08</v>
      </c>
      <c r="G109" s="13">
        <f t="shared" ref="G109:G110" si="12">H109/1.08</f>
        <v>0</v>
      </c>
      <c r="H109" s="3">
        <v>0</v>
      </c>
      <c r="I109" s="4" t="s">
        <v>10</v>
      </c>
      <c r="J109" s="4" t="s">
        <v>8</v>
      </c>
      <c r="K109" s="4" t="s">
        <v>8</v>
      </c>
    </row>
    <row r="110" spans="1:11" ht="14.4" x14ac:dyDescent="0.3">
      <c r="A110" s="3">
        <v>110</v>
      </c>
      <c r="B110" s="4" t="s">
        <v>235</v>
      </c>
      <c r="C110" s="7" t="s">
        <v>236</v>
      </c>
      <c r="D110" s="4" t="s">
        <v>23</v>
      </c>
      <c r="E110" s="4" t="s">
        <v>250</v>
      </c>
      <c r="F110" s="11">
        <v>0.08</v>
      </c>
      <c r="G110" s="13">
        <f t="shared" si="12"/>
        <v>453703.70370370365</v>
      </c>
      <c r="H110" s="3">
        <v>490000</v>
      </c>
      <c r="I110" s="4" t="s">
        <v>10</v>
      </c>
      <c r="J110" s="4" t="s">
        <v>8</v>
      </c>
      <c r="K110" s="4" t="s">
        <v>8</v>
      </c>
    </row>
    <row r="111" spans="1:11" ht="14.4" x14ac:dyDescent="0.3">
      <c r="A111" s="3">
        <v>111</v>
      </c>
      <c r="B111" s="4" t="s">
        <v>237</v>
      </c>
      <c r="C111" s="7" t="s">
        <v>238</v>
      </c>
      <c r="D111" s="4" t="s">
        <v>23</v>
      </c>
      <c r="E111" s="4" t="s">
        <v>249</v>
      </c>
      <c r="F111" s="11">
        <v>0.05</v>
      </c>
      <c r="G111" s="13">
        <f>H111/1.05</f>
        <v>71428.57142857142</v>
      </c>
      <c r="H111" s="3">
        <v>75000</v>
      </c>
      <c r="I111" s="4" t="s">
        <v>10</v>
      </c>
      <c r="J111" s="4" t="s">
        <v>8</v>
      </c>
      <c r="K111" s="4" t="s">
        <v>8</v>
      </c>
    </row>
    <row r="112" spans="1:11" ht="28.8" x14ac:dyDescent="0.3">
      <c r="A112" s="3">
        <v>112</v>
      </c>
      <c r="B112" s="4" t="s">
        <v>239</v>
      </c>
      <c r="C112" s="7" t="s">
        <v>240</v>
      </c>
      <c r="D112" s="4" t="s">
        <v>20</v>
      </c>
      <c r="E112" s="4" t="s">
        <v>250</v>
      </c>
      <c r="F112" s="11">
        <v>0.08</v>
      </c>
      <c r="G112" s="13">
        <f t="shared" ref="G112:G113" si="13">H112/1.08</f>
        <v>449999.99999999994</v>
      </c>
      <c r="H112" s="3">
        <v>486000</v>
      </c>
      <c r="I112" s="4" t="s">
        <v>10</v>
      </c>
      <c r="J112" s="4" t="s">
        <v>8</v>
      </c>
      <c r="K112" s="4" t="s">
        <v>8</v>
      </c>
    </row>
    <row r="113" spans="1:11" ht="28.8" x14ac:dyDescent="0.3">
      <c r="A113" s="3">
        <v>113</v>
      </c>
      <c r="B113" s="4" t="s">
        <v>241</v>
      </c>
      <c r="C113" s="7" t="s">
        <v>242</v>
      </c>
      <c r="D113" s="4" t="s">
        <v>20</v>
      </c>
      <c r="E113" s="4" t="s">
        <v>250</v>
      </c>
      <c r="F113" s="11">
        <v>0.08</v>
      </c>
      <c r="G113" s="13">
        <f t="shared" si="13"/>
        <v>716666.66666666663</v>
      </c>
      <c r="H113" s="3">
        <v>774000</v>
      </c>
      <c r="I113" s="4" t="s">
        <v>10</v>
      </c>
      <c r="J113" s="4" t="s">
        <v>8</v>
      </c>
      <c r="K113" s="4" t="s">
        <v>8</v>
      </c>
    </row>
    <row r="114" spans="1:11" ht="14.4" x14ac:dyDescent="0.3">
      <c r="A114" s="3">
        <v>114</v>
      </c>
      <c r="B114" s="4" t="s">
        <v>243</v>
      </c>
      <c r="C114" s="7" t="s">
        <v>244</v>
      </c>
      <c r="D114" s="4" t="s">
        <v>13</v>
      </c>
      <c r="E114" s="4" t="s">
        <v>249</v>
      </c>
      <c r="F114" s="11">
        <v>0.05</v>
      </c>
      <c r="G114" s="13">
        <f t="shared" ref="G114:G115" si="14">H114/1.05</f>
        <v>14285.714285714284</v>
      </c>
      <c r="H114" s="3">
        <v>15000</v>
      </c>
      <c r="I114" s="4" t="s">
        <v>10</v>
      </c>
      <c r="J114" s="4" t="s">
        <v>8</v>
      </c>
      <c r="K114" s="4" t="s">
        <v>8</v>
      </c>
    </row>
    <row r="115" spans="1:11" ht="14.4" x14ac:dyDescent="0.3">
      <c r="A115" s="3">
        <v>115</v>
      </c>
      <c r="B115" s="4" t="s">
        <v>245</v>
      </c>
      <c r="C115" s="7" t="s">
        <v>246</v>
      </c>
      <c r="D115" s="4" t="s">
        <v>23</v>
      </c>
      <c r="E115" s="4" t="s">
        <v>249</v>
      </c>
      <c r="F115" s="11">
        <v>0.05</v>
      </c>
      <c r="G115" s="13">
        <f t="shared" si="14"/>
        <v>57142.857142857138</v>
      </c>
      <c r="H115" s="3">
        <v>60000</v>
      </c>
      <c r="I115" s="4" t="s">
        <v>10</v>
      </c>
      <c r="J115" s="4" t="s">
        <v>8</v>
      </c>
      <c r="K115" s="4" t="s">
        <v>8</v>
      </c>
    </row>
    <row r="116" spans="1:11" ht="14.4" x14ac:dyDescent="0.3">
      <c r="A116" s="3">
        <v>116</v>
      </c>
      <c r="B116" s="4" t="s">
        <v>247</v>
      </c>
      <c r="C116" s="7" t="s">
        <v>248</v>
      </c>
      <c r="D116" s="4" t="s">
        <v>144</v>
      </c>
      <c r="E116" s="4" t="s">
        <v>250</v>
      </c>
      <c r="F116" s="11">
        <v>0.08</v>
      </c>
      <c r="G116" s="13">
        <f>H116/1.08</f>
        <v>83333.333333333328</v>
      </c>
      <c r="H116" s="3">
        <v>90000</v>
      </c>
      <c r="I116" s="4" t="s">
        <v>10</v>
      </c>
      <c r="J116" s="4" t="s">
        <v>8</v>
      </c>
      <c r="K116" s="4" t="s">
        <v>8</v>
      </c>
    </row>
    <row r="117" spans="1:11" ht="20.100000000000001" customHeight="1" x14ac:dyDescent="0.3">
      <c r="C117" s="9"/>
      <c r="G117" s="5"/>
    </row>
    <row r="118" spans="1:11" ht="20.100000000000001" customHeight="1" x14ac:dyDescent="0.3">
      <c r="G118" s="5"/>
    </row>
    <row r="119" spans="1:11" ht="20.100000000000001" customHeight="1" x14ac:dyDescent="0.3">
      <c r="G119" s="5"/>
    </row>
    <row r="120" spans="1:11" ht="20.100000000000001" customHeight="1" x14ac:dyDescent="0.3">
      <c r="G120" s="5"/>
    </row>
    <row r="121" spans="1:11" ht="20.100000000000001" customHeight="1" x14ac:dyDescent="0.3">
      <c r="G121" s="5"/>
    </row>
    <row r="122" spans="1:11" ht="20.100000000000001" customHeight="1" x14ac:dyDescent="0.3">
      <c r="G122" s="5"/>
    </row>
    <row r="123" spans="1:11" ht="20.100000000000001" customHeight="1" x14ac:dyDescent="0.3">
      <c r="G123" s="5"/>
    </row>
    <row r="124" spans="1:11" ht="20.100000000000001" customHeight="1" x14ac:dyDescent="0.3">
      <c r="G124" s="5"/>
    </row>
    <row r="125" spans="1:11" ht="20.100000000000001" customHeight="1" x14ac:dyDescent="0.3">
      <c r="G125" s="5"/>
    </row>
    <row r="126" spans="1:11" ht="20.100000000000001" customHeight="1" x14ac:dyDescent="0.3">
      <c r="G126" s="5"/>
    </row>
    <row r="127" spans="1:11" ht="20.100000000000001" customHeight="1" x14ac:dyDescent="0.3">
      <c r="G127" s="5"/>
    </row>
    <row r="128" spans="1:11" ht="20.100000000000001" customHeight="1" x14ac:dyDescent="0.3">
      <c r="G128" s="5"/>
    </row>
    <row r="129" spans="7:7" ht="20.100000000000001" customHeight="1" x14ac:dyDescent="0.3">
      <c r="G129" s="5"/>
    </row>
    <row r="130" spans="7:7" ht="20.100000000000001" customHeight="1" x14ac:dyDescent="0.3">
      <c r="G130" s="5"/>
    </row>
    <row r="131" spans="7:7" ht="20.100000000000001" customHeight="1" x14ac:dyDescent="0.3">
      <c r="G131" s="5"/>
    </row>
    <row r="132" spans="7:7" ht="20.100000000000001" customHeight="1" x14ac:dyDescent="0.3">
      <c r="G132" s="5"/>
    </row>
    <row r="133" spans="7:7" ht="20.100000000000001" customHeight="1" x14ac:dyDescent="0.3">
      <c r="G133" s="5"/>
    </row>
    <row r="134" spans="7:7" ht="20.100000000000001" customHeight="1" x14ac:dyDescent="0.3">
      <c r="G134" s="5"/>
    </row>
    <row r="135" spans="7:7" ht="20.100000000000001" customHeight="1" x14ac:dyDescent="0.3">
      <c r="G135" s="5"/>
    </row>
    <row r="136" spans="7:7" ht="20.100000000000001" customHeight="1" x14ac:dyDescent="0.3">
      <c r="G136" s="5"/>
    </row>
    <row r="137" spans="7:7" ht="20.100000000000001" customHeight="1" x14ac:dyDescent="0.3">
      <c r="G137" s="5"/>
    </row>
    <row r="138" spans="7:7" ht="20.100000000000001" customHeight="1" x14ac:dyDescent="0.3">
      <c r="G138" s="5"/>
    </row>
    <row r="139" spans="7:7" ht="20.100000000000001" customHeight="1" x14ac:dyDescent="0.3">
      <c r="G139" s="5"/>
    </row>
    <row r="140" spans="7:7" ht="20.100000000000001" customHeight="1" x14ac:dyDescent="0.3">
      <c r="G140" s="5"/>
    </row>
    <row r="141" spans="7:7" ht="20.100000000000001" customHeight="1" x14ac:dyDescent="0.3">
      <c r="G141" s="5"/>
    </row>
    <row r="142" spans="7:7" ht="20.100000000000001" customHeight="1" x14ac:dyDescent="0.3">
      <c r="G142" s="5"/>
    </row>
    <row r="143" spans="7:7" ht="20.100000000000001" customHeight="1" x14ac:dyDescent="0.3">
      <c r="G143" s="5"/>
    </row>
    <row r="144" spans="7:7" ht="20.100000000000001" customHeight="1" x14ac:dyDescent="0.3">
      <c r="G144" s="5"/>
    </row>
    <row r="145" spans="7:7" ht="20.100000000000001" customHeight="1" x14ac:dyDescent="0.3">
      <c r="G145" s="5"/>
    </row>
    <row r="146" spans="7:7" ht="20.100000000000001" customHeight="1" x14ac:dyDescent="0.3">
      <c r="G146" s="5"/>
    </row>
    <row r="147" spans="7:7" ht="20.100000000000001" customHeight="1" x14ac:dyDescent="0.3">
      <c r="G147" s="5"/>
    </row>
    <row r="148" spans="7:7" ht="20.100000000000001" customHeight="1" x14ac:dyDescent="0.3">
      <c r="G148" s="5"/>
    </row>
    <row r="149" spans="7:7" ht="20.100000000000001" customHeight="1" x14ac:dyDescent="0.3">
      <c r="G149" s="5"/>
    </row>
    <row r="150" spans="7:7" ht="20.100000000000001" customHeight="1" x14ac:dyDescent="0.3">
      <c r="G150" s="5"/>
    </row>
    <row r="151" spans="7:7" ht="20.100000000000001" customHeight="1" x14ac:dyDescent="0.3">
      <c r="G151" s="5"/>
    </row>
    <row r="152" spans="7:7" ht="20.100000000000001" customHeight="1" x14ac:dyDescent="0.3">
      <c r="G152" s="5"/>
    </row>
    <row r="153" spans="7:7" ht="20.100000000000001" customHeight="1" x14ac:dyDescent="0.3">
      <c r="G153" s="5"/>
    </row>
    <row r="154" spans="7:7" ht="20.100000000000001" customHeight="1" x14ac:dyDescent="0.3">
      <c r="G154" s="5"/>
    </row>
    <row r="155" spans="7:7" ht="20.100000000000001" customHeight="1" x14ac:dyDescent="0.3">
      <c r="G155" s="5"/>
    </row>
  </sheetData>
  <autoFilter ref="F1:F155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2026-08-08T07:48:25Z</dcterms:created>
  <dcterms:modified xsi:type="dcterms:W3CDTF">2026-08-20T14:24:11Z</dcterms:modified>
  <cp:category/>
</cp:coreProperties>
</file>